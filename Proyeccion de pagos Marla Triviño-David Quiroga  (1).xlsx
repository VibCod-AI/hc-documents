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  <sheet state="visible" name="PrestamoCuotaInfo_6389414856350" sheetId="2" r:id="rId5"/>
  </sheets>
  <definedNames/>
  <calcPr/>
</workbook>
</file>

<file path=xl/sharedStrings.xml><?xml version="1.0" encoding="utf-8"?>
<sst xmlns="http://schemas.openxmlformats.org/spreadsheetml/2006/main" count="283" uniqueCount="37">
  <si>
    <t>Número Cuota</t>
  </si>
  <si>
    <t>Cuota Total</t>
  </si>
  <si>
    <t>Cuota Pura</t>
  </si>
  <si>
    <t>Importe Capital</t>
  </si>
  <si>
    <t>Importe Interés</t>
  </si>
  <si>
    <t>Seguros</t>
  </si>
  <si>
    <t>Amortización Pendiente</t>
  </si>
  <si>
    <t>Fecha Vencimiento</t>
  </si>
  <si>
    <t>Total</t>
  </si>
  <si>
    <t>IVA Interés</t>
  </si>
  <si>
    <t>Importe Cargos</t>
  </si>
  <si>
    <t>IVA Cargos</t>
  </si>
  <si>
    <t>Amortización Pendiente Actualizada</t>
  </si>
  <si>
    <t>Importe Mora</t>
  </si>
  <si>
    <t>IVA Mora</t>
  </si>
  <si>
    <t>Importe Compensatorio</t>
  </si>
  <si>
    <t>IVA Compensatorio</t>
  </si>
  <si>
    <t>Fecha Último Pago</t>
  </si>
  <si>
    <t>Importe Pago</t>
  </si>
  <si>
    <t>Saldo Capital</t>
  </si>
  <si>
    <t>Saldo Interés</t>
  </si>
  <si>
    <t>Saldo IVA Interés</t>
  </si>
  <si>
    <t>Saldo Mora</t>
  </si>
  <si>
    <t>Saldo IVA Mora</t>
  </si>
  <si>
    <t>Saldo Compensatorio</t>
  </si>
  <si>
    <t>Saldo IVA Compensatorio</t>
  </si>
  <si>
    <t>Saldo Cargos</t>
  </si>
  <si>
    <t>Saldo IVA Cargos</t>
  </si>
  <si>
    <t>Saldo Seguros</t>
  </si>
  <si>
    <t>Saldo IVA Seguros</t>
  </si>
  <si>
    <t>Saldo Total</t>
  </si>
  <si>
    <t>Cancelado</t>
  </si>
  <si>
    <t>Fecha Cancelación</t>
  </si>
  <si>
    <t>Días Mora</t>
  </si>
  <si>
    <t>Tasa Int,</t>
  </si>
  <si>
    <t>Tasa Mora</t>
  </si>
  <si>
    <t>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</si>
</sst>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 $]#,##0"/>
    <numFmt numFmtId="165" formatCode="d-m-yyyy"/>
    <numFmt numFmtId="166" formatCode="dd-mm-yyyy"/>
  </numFmts>
  <fonts count="4">
    <font>
      <sz val="10.0"/>
      <color rgb="FF000000"/>
      <name val="Arial"/>
      <scheme val="minor"/>
    </font>
    <font>
      <b/>
      <sz val="12.0"/>
      <color rgb="FF000000"/>
      <name val="Arial"/>
    </font>
    <font>
      <sz val="12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164" xfId="0" applyFont="1" applyNumberFormat="1"/>
    <xf borderId="0" fillId="0" fontId="2" numFmtId="0" xfId="0" applyAlignment="1" applyFont="1">
      <alignment readingOrder="0"/>
    </xf>
    <xf borderId="0" fillId="0" fontId="2" numFmtId="165" xfId="0" applyFont="1" applyNumberFormat="1"/>
    <xf borderId="0" fillId="0" fontId="2" numFmtId="0" xfId="0" applyFont="1"/>
    <xf borderId="0" fillId="0" fontId="2" numFmtId="16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8.38"/>
    <col customWidth="1" min="4" max="5" width="15.5"/>
    <col customWidth="1" min="6" max="7" width="23.75"/>
    <col customWidth="1" min="8" max="8" width="1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</row>
    <row r="2">
      <c r="A2" s="3">
        <v>1.0</v>
      </c>
      <c r="B2" s="4">
        <f t="shared" ref="B2:B242" si="1">C2+F2</f>
        <v>3304374.333</v>
      </c>
      <c r="C2" s="4">
        <v>3119321.0</v>
      </c>
      <c r="D2" s="4">
        <f t="shared" ref="D2:D241" si="2">C2-E2</f>
        <v>190591.8333</v>
      </c>
      <c r="E2" s="4">
        <f>(14.0579%/12)*250000000</f>
        <v>2928729.167</v>
      </c>
      <c r="F2" s="4">
        <f>(0.048%*250000000)+(410000000/1000*1.904/12)</f>
        <v>185053.3333</v>
      </c>
      <c r="G2" s="4">
        <f>250000000-D2</f>
        <v>249809408.2</v>
      </c>
      <c r="H2" s="5">
        <v>46047.0</v>
      </c>
    </row>
    <row r="3">
      <c r="A3" s="3">
        <v>2.0</v>
      </c>
      <c r="B3" s="4">
        <f t="shared" si="1"/>
        <v>3304190.293</v>
      </c>
      <c r="C3" s="4">
        <v>3119321.0</v>
      </c>
      <c r="D3" s="4">
        <f t="shared" si="2"/>
        <v>192824.6008</v>
      </c>
      <c r="E3" s="4">
        <f t="shared" ref="E3:E241" si="3">(14.0579%/12)*G2</f>
        <v>2926496.399</v>
      </c>
      <c r="F3" s="4">
        <f t="shared" ref="F3:F241" si="4">(0.048%*G3)+(410000000/1000*1.904/12)</f>
        <v>184869.2934</v>
      </c>
      <c r="G3" s="4">
        <f t="shared" ref="G3:G241" si="5">G2-D3</f>
        <v>249616583.6</v>
      </c>
      <c r="H3" s="5">
        <v>46078.0</v>
      </c>
    </row>
    <row r="4">
      <c r="A4" s="3">
        <v>3.0</v>
      </c>
      <c r="B4" s="4">
        <f t="shared" si="1"/>
        <v>3304096.653</v>
      </c>
      <c r="C4" s="4">
        <v>3119321.0</v>
      </c>
      <c r="D4" s="4">
        <f t="shared" si="2"/>
        <v>195083.5249</v>
      </c>
      <c r="E4" s="4">
        <f t="shared" si="3"/>
        <v>2924237.475</v>
      </c>
      <c r="F4" s="4">
        <f t="shared" si="4"/>
        <v>184775.6534</v>
      </c>
      <c r="G4" s="4">
        <f t="shared" si="5"/>
        <v>249421500</v>
      </c>
      <c r="H4" s="5">
        <v>46106.0</v>
      </c>
    </row>
    <row r="5">
      <c r="A5" s="3">
        <v>4.0</v>
      </c>
      <c r="B5" s="4">
        <f t="shared" si="1"/>
        <v>3304001.916</v>
      </c>
      <c r="C5" s="4">
        <v>3119321.0</v>
      </c>
      <c r="D5" s="4">
        <f t="shared" si="2"/>
        <v>197368.9121</v>
      </c>
      <c r="E5" s="4">
        <f t="shared" si="3"/>
        <v>2921952.088</v>
      </c>
      <c r="F5" s="4">
        <f t="shared" si="4"/>
        <v>184680.9163</v>
      </c>
      <c r="G5" s="4">
        <f t="shared" si="5"/>
        <v>249224131.1</v>
      </c>
      <c r="H5" s="5">
        <v>46137.0</v>
      </c>
    </row>
    <row r="6">
      <c r="A6" s="3">
        <v>5.0</v>
      </c>
      <c r="B6" s="4">
        <f t="shared" si="1"/>
        <v>3303906.069</v>
      </c>
      <c r="C6" s="4">
        <v>3119321.0</v>
      </c>
      <c r="D6" s="4">
        <f t="shared" si="2"/>
        <v>199681.0725</v>
      </c>
      <c r="E6" s="4">
        <f t="shared" si="3"/>
        <v>2919639.927</v>
      </c>
      <c r="F6" s="4">
        <f t="shared" si="4"/>
        <v>184585.0694</v>
      </c>
      <c r="G6" s="4">
        <f t="shared" si="5"/>
        <v>249024450.1</v>
      </c>
      <c r="H6" s="5">
        <v>46167.0</v>
      </c>
    </row>
    <row r="7">
      <c r="A7" s="3">
        <v>6.0</v>
      </c>
      <c r="B7" s="4">
        <f t="shared" si="1"/>
        <v>3303809.1</v>
      </c>
      <c r="C7" s="4">
        <v>3119321.0</v>
      </c>
      <c r="D7" s="4">
        <f t="shared" si="2"/>
        <v>202020.3196</v>
      </c>
      <c r="E7" s="4">
        <f t="shared" si="3"/>
        <v>2917300.68</v>
      </c>
      <c r="F7" s="4">
        <f t="shared" si="4"/>
        <v>184488.0996</v>
      </c>
      <c r="G7" s="4">
        <f t="shared" si="5"/>
        <v>248822429.7</v>
      </c>
      <c r="H7" s="5">
        <v>46198.0</v>
      </c>
    </row>
    <row r="8">
      <c r="A8" s="3">
        <v>7.0</v>
      </c>
      <c r="B8" s="4">
        <f t="shared" si="1"/>
        <v>3303710.994</v>
      </c>
      <c r="C8" s="4">
        <v>3119321.0</v>
      </c>
      <c r="D8" s="4">
        <f t="shared" si="2"/>
        <v>204386.9708</v>
      </c>
      <c r="E8" s="4">
        <f t="shared" si="3"/>
        <v>2914934.029</v>
      </c>
      <c r="F8" s="4">
        <f t="shared" si="4"/>
        <v>184389.9939</v>
      </c>
      <c r="G8" s="4">
        <f t="shared" si="5"/>
        <v>248618042.8</v>
      </c>
      <c r="H8" s="5">
        <v>46228.0</v>
      </c>
    </row>
    <row r="9">
      <c r="A9" s="3">
        <v>8.0</v>
      </c>
      <c r="B9" s="4">
        <f t="shared" si="1"/>
        <v>3303611.739</v>
      </c>
      <c r="C9" s="4">
        <v>3119321.0</v>
      </c>
      <c r="D9" s="4">
        <f t="shared" si="2"/>
        <v>206781.3472</v>
      </c>
      <c r="E9" s="4">
        <f t="shared" si="3"/>
        <v>2912539.653</v>
      </c>
      <c r="F9" s="4">
        <f t="shared" si="4"/>
        <v>184290.7388</v>
      </c>
      <c r="G9" s="4">
        <f t="shared" si="5"/>
        <v>248411261.4</v>
      </c>
      <c r="H9" s="5">
        <v>46259.0</v>
      </c>
    </row>
    <row r="10">
      <c r="A10" s="3">
        <v>9.0</v>
      </c>
      <c r="B10" s="4">
        <f t="shared" si="1"/>
        <v>3303511.321</v>
      </c>
      <c r="C10" s="4">
        <v>3119321.0</v>
      </c>
      <c r="D10" s="4">
        <f t="shared" si="2"/>
        <v>209203.7734</v>
      </c>
      <c r="E10" s="4">
        <f t="shared" si="3"/>
        <v>2910117.227</v>
      </c>
      <c r="F10" s="4">
        <f t="shared" si="4"/>
        <v>184190.321</v>
      </c>
      <c r="G10" s="4">
        <f t="shared" si="5"/>
        <v>248202057.6</v>
      </c>
      <c r="H10" s="5">
        <v>46290.0</v>
      </c>
    </row>
    <row r="11">
      <c r="A11" s="3">
        <v>10.0</v>
      </c>
      <c r="B11" s="4">
        <f t="shared" si="1"/>
        <v>3303409.727</v>
      </c>
      <c r="C11" s="4">
        <v>3119321.0</v>
      </c>
      <c r="D11" s="4">
        <f t="shared" si="2"/>
        <v>211654.5782</v>
      </c>
      <c r="E11" s="4">
        <f t="shared" si="3"/>
        <v>2907666.422</v>
      </c>
      <c r="F11" s="4">
        <f t="shared" si="4"/>
        <v>184088.7268</v>
      </c>
      <c r="G11" s="4">
        <f t="shared" si="5"/>
        <v>247990403.1</v>
      </c>
      <c r="H11" s="5">
        <v>46320.0</v>
      </c>
    </row>
    <row r="12">
      <c r="A12" s="3">
        <v>11.0</v>
      </c>
      <c r="B12" s="4">
        <f t="shared" si="1"/>
        <v>3303306.942</v>
      </c>
      <c r="C12" s="4">
        <v>3119321.0</v>
      </c>
      <c r="D12" s="4">
        <f t="shared" si="2"/>
        <v>214134.0939</v>
      </c>
      <c r="E12" s="4">
        <f t="shared" si="3"/>
        <v>2905186.906</v>
      </c>
      <c r="F12" s="4">
        <f t="shared" si="4"/>
        <v>183985.9424</v>
      </c>
      <c r="G12" s="4">
        <f t="shared" si="5"/>
        <v>247776269</v>
      </c>
      <c r="H12" s="5">
        <v>46351.0</v>
      </c>
    </row>
    <row r="13">
      <c r="A13" s="3">
        <v>12.0</v>
      </c>
      <c r="B13" s="4">
        <f t="shared" si="1"/>
        <v>3303202.954</v>
      </c>
      <c r="C13" s="4">
        <v>3119321.0</v>
      </c>
      <c r="D13" s="4">
        <f t="shared" si="2"/>
        <v>216642.657</v>
      </c>
      <c r="E13" s="4">
        <f t="shared" si="3"/>
        <v>2902678.343</v>
      </c>
      <c r="F13" s="4">
        <f t="shared" si="4"/>
        <v>183881.954</v>
      </c>
      <c r="G13" s="4">
        <f t="shared" si="5"/>
        <v>247559626.3</v>
      </c>
      <c r="H13" s="5">
        <v>46381.0</v>
      </c>
    </row>
    <row r="14">
      <c r="A14" s="3">
        <v>13.0</v>
      </c>
      <c r="B14" s="4">
        <f t="shared" si="1"/>
        <v>3303097.747</v>
      </c>
      <c r="C14" s="4">
        <v>3119321.0</v>
      </c>
      <c r="D14" s="4">
        <f t="shared" si="2"/>
        <v>219180.6077</v>
      </c>
      <c r="E14" s="4">
        <f t="shared" si="3"/>
        <v>2900140.392</v>
      </c>
      <c r="F14" s="4">
        <f t="shared" si="4"/>
        <v>183776.7473</v>
      </c>
      <c r="G14" s="4">
        <f t="shared" si="5"/>
        <v>247340445.7</v>
      </c>
      <c r="H14" s="5">
        <v>46412.0</v>
      </c>
    </row>
    <row r="15">
      <c r="A15" s="3">
        <v>14.0</v>
      </c>
      <c r="B15" s="4">
        <f t="shared" si="1"/>
        <v>3302991.308</v>
      </c>
      <c r="C15" s="4">
        <v>3119321.0</v>
      </c>
      <c r="D15" s="4">
        <f t="shared" si="2"/>
        <v>221748.2902</v>
      </c>
      <c r="E15" s="4">
        <f t="shared" si="3"/>
        <v>2897572.71</v>
      </c>
      <c r="F15" s="4">
        <f t="shared" si="4"/>
        <v>183670.3081</v>
      </c>
      <c r="G15" s="4">
        <f t="shared" si="5"/>
        <v>247118697.4</v>
      </c>
      <c r="H15" s="5">
        <v>46443.0</v>
      </c>
    </row>
    <row r="16">
      <c r="A16" s="3">
        <v>15.0</v>
      </c>
      <c r="B16" s="4">
        <f t="shared" si="1"/>
        <v>3302883.622</v>
      </c>
      <c r="C16" s="4">
        <v>3119321.0</v>
      </c>
      <c r="D16" s="4">
        <f t="shared" si="2"/>
        <v>224346.053</v>
      </c>
      <c r="E16" s="4">
        <f t="shared" si="3"/>
        <v>2894974.947</v>
      </c>
      <c r="F16" s="4">
        <f t="shared" si="4"/>
        <v>183562.622</v>
      </c>
      <c r="G16" s="4">
        <f t="shared" si="5"/>
        <v>246894351.4</v>
      </c>
      <c r="H16" s="5">
        <v>46471.0</v>
      </c>
    </row>
    <row r="17">
      <c r="A17" s="3">
        <v>16.0</v>
      </c>
      <c r="B17" s="4">
        <f t="shared" si="1"/>
        <v>3302774.674</v>
      </c>
      <c r="C17" s="4">
        <v>3119321.0</v>
      </c>
      <c r="D17" s="4">
        <f t="shared" si="2"/>
        <v>226974.2483</v>
      </c>
      <c r="E17" s="4">
        <f t="shared" si="3"/>
        <v>2892346.752</v>
      </c>
      <c r="F17" s="4">
        <f t="shared" si="4"/>
        <v>183453.6743</v>
      </c>
      <c r="G17" s="4">
        <f t="shared" si="5"/>
        <v>246667377.1</v>
      </c>
      <c r="H17" s="5">
        <v>46502.0</v>
      </c>
    </row>
    <row r="18">
      <c r="A18" s="3">
        <v>17.0</v>
      </c>
      <c r="B18" s="4">
        <f t="shared" si="1"/>
        <v>3302664.45</v>
      </c>
      <c r="C18" s="4">
        <v>3119321.0</v>
      </c>
      <c r="D18" s="4">
        <f t="shared" si="2"/>
        <v>229633.2327</v>
      </c>
      <c r="E18" s="4">
        <f t="shared" si="3"/>
        <v>2889687.767</v>
      </c>
      <c r="F18" s="4">
        <f t="shared" si="4"/>
        <v>183343.4504</v>
      </c>
      <c r="G18" s="4">
        <f t="shared" si="5"/>
        <v>246437743.9</v>
      </c>
      <c r="H18" s="5">
        <v>46532.0</v>
      </c>
    </row>
    <row r="19">
      <c r="A19" s="3">
        <v>18.0</v>
      </c>
      <c r="B19" s="4">
        <f t="shared" si="1"/>
        <v>3302552.935</v>
      </c>
      <c r="C19" s="4">
        <v>3119321.0</v>
      </c>
      <c r="D19" s="4">
        <f t="shared" si="2"/>
        <v>232323.3669</v>
      </c>
      <c r="E19" s="4">
        <f t="shared" si="3"/>
        <v>2886997.633</v>
      </c>
      <c r="F19" s="4">
        <f t="shared" si="4"/>
        <v>183231.9352</v>
      </c>
      <c r="G19" s="4">
        <f t="shared" si="5"/>
        <v>246205420.5</v>
      </c>
      <c r="H19" s="5">
        <v>46563.0</v>
      </c>
    </row>
    <row r="20">
      <c r="A20" s="3">
        <v>19.0</v>
      </c>
      <c r="B20" s="4">
        <f t="shared" si="1"/>
        <v>3302440.114</v>
      </c>
      <c r="C20" s="4">
        <v>3119321.0</v>
      </c>
      <c r="D20" s="4">
        <f t="shared" si="2"/>
        <v>235045.0158</v>
      </c>
      <c r="E20" s="4">
        <f t="shared" si="3"/>
        <v>2884275.984</v>
      </c>
      <c r="F20" s="4">
        <f t="shared" si="4"/>
        <v>183119.1136</v>
      </c>
      <c r="G20" s="4">
        <f t="shared" si="5"/>
        <v>245970375.5</v>
      </c>
      <c r="H20" s="5">
        <v>46593.0</v>
      </c>
    </row>
    <row r="21">
      <c r="A21" s="3">
        <v>20.0</v>
      </c>
      <c r="B21" s="4">
        <f t="shared" si="1"/>
        <v>3302325.97</v>
      </c>
      <c r="C21" s="4">
        <v>3119321.0</v>
      </c>
      <c r="D21" s="4">
        <f t="shared" si="2"/>
        <v>237798.5485</v>
      </c>
      <c r="E21" s="4">
        <f t="shared" si="3"/>
        <v>2881522.451</v>
      </c>
      <c r="F21" s="4">
        <f t="shared" si="4"/>
        <v>183004.9703</v>
      </c>
      <c r="G21" s="4">
        <f t="shared" si="5"/>
        <v>245732577</v>
      </c>
      <c r="H21" s="5">
        <v>46624.0</v>
      </c>
    </row>
    <row r="22">
      <c r="A22" s="3">
        <v>21.0</v>
      </c>
      <c r="B22" s="4">
        <f t="shared" si="1"/>
        <v>3302210.49</v>
      </c>
      <c r="C22" s="4">
        <v>3119321.0</v>
      </c>
      <c r="D22" s="4">
        <f t="shared" si="2"/>
        <v>240584.3387</v>
      </c>
      <c r="E22" s="4">
        <f t="shared" si="3"/>
        <v>2878736.661</v>
      </c>
      <c r="F22" s="4">
        <f t="shared" si="4"/>
        <v>182889.4898</v>
      </c>
      <c r="G22" s="4">
        <f t="shared" si="5"/>
        <v>245491992.6</v>
      </c>
      <c r="H22" s="5">
        <v>46655.0</v>
      </c>
    </row>
    <row r="23">
      <c r="A23" s="3">
        <v>22.0</v>
      </c>
      <c r="B23" s="4">
        <f t="shared" si="1"/>
        <v>3302093.656</v>
      </c>
      <c r="C23" s="4">
        <v>3119321.0</v>
      </c>
      <c r="D23" s="4">
        <f t="shared" si="2"/>
        <v>243402.7642</v>
      </c>
      <c r="E23" s="4">
        <f t="shared" si="3"/>
        <v>2875918.236</v>
      </c>
      <c r="F23" s="4">
        <f t="shared" si="4"/>
        <v>182772.6565</v>
      </c>
      <c r="G23" s="4">
        <f t="shared" si="5"/>
        <v>245248589.9</v>
      </c>
      <c r="H23" s="5">
        <v>46685.0</v>
      </c>
    </row>
    <row r="24">
      <c r="A24" s="3">
        <v>23.0</v>
      </c>
      <c r="B24" s="4">
        <f t="shared" si="1"/>
        <v>3301975.454</v>
      </c>
      <c r="C24" s="4">
        <v>3119321.0</v>
      </c>
      <c r="D24" s="4">
        <f t="shared" si="2"/>
        <v>246254.2073</v>
      </c>
      <c r="E24" s="4">
        <f t="shared" si="3"/>
        <v>2873066.793</v>
      </c>
      <c r="F24" s="4">
        <f t="shared" si="4"/>
        <v>182654.4544</v>
      </c>
      <c r="G24" s="4">
        <f t="shared" si="5"/>
        <v>245002335.6</v>
      </c>
      <c r="H24" s="5">
        <v>46716.0</v>
      </c>
    </row>
    <row r="25">
      <c r="A25" s="3">
        <v>24.0</v>
      </c>
      <c r="B25" s="4">
        <f t="shared" si="1"/>
        <v>3301855.868</v>
      </c>
      <c r="C25" s="4">
        <v>3119321.0</v>
      </c>
      <c r="D25" s="4">
        <f t="shared" si="2"/>
        <v>249139.0548</v>
      </c>
      <c r="E25" s="4">
        <f t="shared" si="3"/>
        <v>2870181.945</v>
      </c>
      <c r="F25" s="4">
        <f t="shared" si="4"/>
        <v>182534.8677</v>
      </c>
      <c r="G25" s="4">
        <f t="shared" si="5"/>
        <v>244753196.6</v>
      </c>
      <c r="H25" s="5">
        <v>46746.0</v>
      </c>
    </row>
    <row r="26">
      <c r="A26" s="3">
        <v>25.0</v>
      </c>
      <c r="B26" s="4">
        <f t="shared" si="1"/>
        <v>3301734.88</v>
      </c>
      <c r="C26" s="4">
        <v>3119321.0</v>
      </c>
      <c r="D26" s="4">
        <f t="shared" si="2"/>
        <v>252057.6981</v>
      </c>
      <c r="E26" s="4">
        <f t="shared" si="3"/>
        <v>2867263.302</v>
      </c>
      <c r="F26" s="4">
        <f t="shared" si="4"/>
        <v>182413.88</v>
      </c>
      <c r="G26" s="4">
        <f t="shared" si="5"/>
        <v>244501138.9</v>
      </c>
      <c r="H26" s="5">
        <v>46777.0</v>
      </c>
    </row>
    <row r="27">
      <c r="A27" s="3">
        <v>26.0</v>
      </c>
      <c r="B27" s="4">
        <f t="shared" si="1"/>
        <v>3301612.475</v>
      </c>
      <c r="C27" s="4">
        <v>3119321.0</v>
      </c>
      <c r="D27" s="4">
        <f t="shared" si="2"/>
        <v>255010.533</v>
      </c>
      <c r="E27" s="4">
        <f t="shared" si="3"/>
        <v>2864310.467</v>
      </c>
      <c r="F27" s="4">
        <f t="shared" si="4"/>
        <v>182291.4749</v>
      </c>
      <c r="G27" s="4">
        <f t="shared" si="5"/>
        <v>244246128.4</v>
      </c>
      <c r="H27" s="5">
        <v>46808.0</v>
      </c>
    </row>
    <row r="28">
      <c r="A28" s="3">
        <v>27.0</v>
      </c>
      <c r="B28" s="4">
        <f t="shared" si="1"/>
        <v>3301488.636</v>
      </c>
      <c r="C28" s="4">
        <v>3119321.0</v>
      </c>
      <c r="D28" s="4">
        <f t="shared" si="2"/>
        <v>257997.9601</v>
      </c>
      <c r="E28" s="4">
        <f t="shared" si="3"/>
        <v>2861323.04</v>
      </c>
      <c r="F28" s="4">
        <f t="shared" si="4"/>
        <v>182167.6359</v>
      </c>
      <c r="G28" s="4">
        <f t="shared" si="5"/>
        <v>243988130.4</v>
      </c>
      <c r="H28" s="5">
        <v>46837.0</v>
      </c>
    </row>
    <row r="29">
      <c r="A29" s="3">
        <v>28.0</v>
      </c>
      <c r="B29" s="4">
        <f t="shared" si="1"/>
        <v>3301363.346</v>
      </c>
      <c r="C29" s="4">
        <v>3119321.0</v>
      </c>
      <c r="D29" s="4">
        <f t="shared" si="2"/>
        <v>261020.3847</v>
      </c>
      <c r="E29" s="4">
        <f t="shared" si="3"/>
        <v>2858300.615</v>
      </c>
      <c r="F29" s="4">
        <f t="shared" si="4"/>
        <v>182042.3461</v>
      </c>
      <c r="G29" s="4">
        <f t="shared" si="5"/>
        <v>243727110</v>
      </c>
      <c r="H29" s="5">
        <v>46868.0</v>
      </c>
    </row>
    <row r="30">
      <c r="A30" s="3">
        <v>29.0</v>
      </c>
      <c r="B30" s="4">
        <f t="shared" si="1"/>
        <v>3301236.589</v>
      </c>
      <c r="C30" s="4">
        <v>3119321.0</v>
      </c>
      <c r="D30" s="4">
        <f t="shared" si="2"/>
        <v>264078.2168</v>
      </c>
      <c r="E30" s="4">
        <f t="shared" si="3"/>
        <v>2855242.783</v>
      </c>
      <c r="F30" s="4">
        <f t="shared" si="4"/>
        <v>181915.5886</v>
      </c>
      <c r="G30" s="4">
        <f t="shared" si="5"/>
        <v>243463031.8</v>
      </c>
      <c r="H30" s="5">
        <v>46898.0</v>
      </c>
    </row>
    <row r="31">
      <c r="A31" s="3">
        <v>30.0</v>
      </c>
      <c r="B31" s="4">
        <f t="shared" si="1"/>
        <v>3301108.346</v>
      </c>
      <c r="C31" s="4">
        <v>3119321.0</v>
      </c>
      <c r="D31" s="4">
        <f t="shared" si="2"/>
        <v>267171.8711</v>
      </c>
      <c r="E31" s="4">
        <f t="shared" si="3"/>
        <v>2852149.129</v>
      </c>
      <c r="F31" s="4">
        <f t="shared" si="4"/>
        <v>181787.3461</v>
      </c>
      <c r="G31" s="4">
        <f t="shared" si="5"/>
        <v>243195859.9</v>
      </c>
      <c r="H31" s="5">
        <v>46929.0</v>
      </c>
    </row>
    <row r="32">
      <c r="A32" s="3">
        <v>31.0</v>
      </c>
      <c r="B32" s="4">
        <f t="shared" si="1"/>
        <v>3300978.601</v>
      </c>
      <c r="C32" s="4">
        <v>3119321.0</v>
      </c>
      <c r="D32" s="4">
        <f t="shared" si="2"/>
        <v>270301.7673</v>
      </c>
      <c r="E32" s="4">
        <f t="shared" si="3"/>
        <v>2849019.233</v>
      </c>
      <c r="F32" s="4">
        <f t="shared" si="4"/>
        <v>181657.6012</v>
      </c>
      <c r="G32" s="4">
        <f t="shared" si="5"/>
        <v>242925558.2</v>
      </c>
      <c r="H32" s="5">
        <v>46959.0</v>
      </c>
    </row>
    <row r="33">
      <c r="A33" s="3">
        <v>32.0</v>
      </c>
      <c r="B33" s="4">
        <f t="shared" si="1"/>
        <v>3300847.336</v>
      </c>
      <c r="C33" s="4">
        <v>3119321.0</v>
      </c>
      <c r="D33" s="4">
        <f t="shared" si="2"/>
        <v>273468.33</v>
      </c>
      <c r="E33" s="4">
        <f t="shared" si="3"/>
        <v>2845852.67</v>
      </c>
      <c r="F33" s="4">
        <f t="shared" si="4"/>
        <v>181526.3365</v>
      </c>
      <c r="G33" s="4">
        <f t="shared" si="5"/>
        <v>242652089.8</v>
      </c>
      <c r="H33" s="5">
        <v>46990.0</v>
      </c>
    </row>
    <row r="34">
      <c r="A34" s="3">
        <v>33.0</v>
      </c>
      <c r="B34" s="4">
        <f t="shared" si="1"/>
        <v>3300714.534</v>
      </c>
      <c r="C34" s="4">
        <v>3119321.0</v>
      </c>
      <c r="D34" s="4">
        <f t="shared" si="2"/>
        <v>276671.9887</v>
      </c>
      <c r="E34" s="4">
        <f t="shared" si="3"/>
        <v>2842649.011</v>
      </c>
      <c r="F34" s="4">
        <f t="shared" si="4"/>
        <v>181393.5339</v>
      </c>
      <c r="G34" s="4">
        <f t="shared" si="5"/>
        <v>242375417.8</v>
      </c>
      <c r="H34" s="5">
        <v>47021.0</v>
      </c>
    </row>
    <row r="35">
      <c r="A35" s="3">
        <v>34.0</v>
      </c>
      <c r="B35" s="4">
        <f t="shared" si="1"/>
        <v>3300580.176</v>
      </c>
      <c r="C35" s="4">
        <v>3119321.0</v>
      </c>
      <c r="D35" s="4">
        <f t="shared" si="2"/>
        <v>279913.178</v>
      </c>
      <c r="E35" s="4">
        <f t="shared" si="3"/>
        <v>2839407.822</v>
      </c>
      <c r="F35" s="4">
        <f t="shared" si="4"/>
        <v>181259.1756</v>
      </c>
      <c r="G35" s="4">
        <f t="shared" si="5"/>
        <v>242095504.7</v>
      </c>
      <c r="H35" s="5">
        <v>47051.0</v>
      </c>
    </row>
    <row r="36">
      <c r="A36" s="3">
        <v>35.0</v>
      </c>
      <c r="B36" s="4">
        <f t="shared" si="1"/>
        <v>3300444.243</v>
      </c>
      <c r="C36" s="4">
        <v>3119321.0</v>
      </c>
      <c r="D36" s="4">
        <f t="shared" si="2"/>
        <v>283192.3375</v>
      </c>
      <c r="E36" s="4">
        <f t="shared" si="3"/>
        <v>2836128.662</v>
      </c>
      <c r="F36" s="4">
        <f t="shared" si="4"/>
        <v>181123.2432</v>
      </c>
      <c r="G36" s="4">
        <f t="shared" si="5"/>
        <v>241812312.3</v>
      </c>
      <c r="H36" s="5">
        <v>47082.0</v>
      </c>
    </row>
    <row r="37">
      <c r="A37" s="3">
        <v>36.0</v>
      </c>
      <c r="B37" s="4">
        <f t="shared" si="1"/>
        <v>3300306.718</v>
      </c>
      <c r="C37" s="4">
        <v>3119321.0</v>
      </c>
      <c r="D37" s="4">
        <f t="shared" si="2"/>
        <v>286509.9122</v>
      </c>
      <c r="E37" s="4">
        <f t="shared" si="3"/>
        <v>2832811.088</v>
      </c>
      <c r="F37" s="4">
        <f t="shared" si="4"/>
        <v>180985.7185</v>
      </c>
      <c r="G37" s="4">
        <f t="shared" si="5"/>
        <v>241525802.4</v>
      </c>
      <c r="H37" s="5">
        <v>47112.0</v>
      </c>
    </row>
    <row r="38">
      <c r="A38" s="3">
        <v>37.0</v>
      </c>
      <c r="B38" s="4">
        <f t="shared" si="1"/>
        <v>3300167.583</v>
      </c>
      <c r="C38" s="4">
        <v>3119321.0</v>
      </c>
      <c r="D38" s="4">
        <f t="shared" si="2"/>
        <v>289866.3519</v>
      </c>
      <c r="E38" s="4">
        <f t="shared" si="3"/>
        <v>2829454.648</v>
      </c>
      <c r="F38" s="4">
        <f t="shared" si="4"/>
        <v>180846.5826</v>
      </c>
      <c r="G38" s="4">
        <f t="shared" si="5"/>
        <v>241235936.1</v>
      </c>
      <c r="H38" s="5">
        <v>47143.0</v>
      </c>
    </row>
    <row r="39">
      <c r="A39" s="3">
        <v>38.0</v>
      </c>
      <c r="B39" s="4">
        <f t="shared" si="1"/>
        <v>3300026.817</v>
      </c>
      <c r="C39" s="4">
        <v>3119321.0</v>
      </c>
      <c r="D39" s="4">
        <f t="shared" si="2"/>
        <v>293262.1121</v>
      </c>
      <c r="E39" s="4">
        <f t="shared" si="3"/>
        <v>2826058.888</v>
      </c>
      <c r="F39" s="4">
        <f t="shared" si="4"/>
        <v>180705.8168</v>
      </c>
      <c r="G39" s="4">
        <f t="shared" si="5"/>
        <v>240942673.9</v>
      </c>
      <c r="H39" s="5">
        <v>47174.0</v>
      </c>
    </row>
    <row r="40">
      <c r="A40" s="3">
        <v>39.0</v>
      </c>
      <c r="B40" s="4">
        <f t="shared" si="1"/>
        <v>3299884.402</v>
      </c>
      <c r="C40" s="4">
        <v>3119321.0</v>
      </c>
      <c r="D40" s="4">
        <f t="shared" si="2"/>
        <v>296697.6533</v>
      </c>
      <c r="E40" s="4">
        <f t="shared" si="3"/>
        <v>2822623.347</v>
      </c>
      <c r="F40" s="4">
        <f t="shared" si="4"/>
        <v>180563.402</v>
      </c>
      <c r="G40" s="4">
        <f t="shared" si="5"/>
        <v>240645976.3</v>
      </c>
      <c r="H40" s="5">
        <v>47202.0</v>
      </c>
    </row>
    <row r="41">
      <c r="A41" s="3">
        <v>40.0</v>
      </c>
      <c r="B41" s="4">
        <f t="shared" si="1"/>
        <v>3299740.319</v>
      </c>
      <c r="C41" s="4">
        <v>3119321.0</v>
      </c>
      <c r="D41" s="4">
        <f t="shared" si="2"/>
        <v>300173.4416</v>
      </c>
      <c r="E41" s="4">
        <f t="shared" si="3"/>
        <v>2819147.558</v>
      </c>
      <c r="F41" s="4">
        <f t="shared" si="4"/>
        <v>180419.3187</v>
      </c>
      <c r="G41" s="4">
        <f t="shared" si="5"/>
        <v>240345802.9</v>
      </c>
      <c r="H41" s="5">
        <v>47233.0</v>
      </c>
    </row>
    <row r="42">
      <c r="A42" s="3">
        <v>41.0</v>
      </c>
      <c r="B42" s="4">
        <f t="shared" si="1"/>
        <v>3299594.548</v>
      </c>
      <c r="C42" s="4">
        <v>3119321.0</v>
      </c>
      <c r="D42" s="4">
        <f t="shared" si="2"/>
        <v>303689.9484</v>
      </c>
      <c r="E42" s="4">
        <f t="shared" si="3"/>
        <v>2815631.052</v>
      </c>
      <c r="F42" s="4">
        <f t="shared" si="4"/>
        <v>180273.5475</v>
      </c>
      <c r="G42" s="4">
        <f t="shared" si="5"/>
        <v>240042112.9</v>
      </c>
      <c r="H42" s="5">
        <v>47263.0</v>
      </c>
    </row>
    <row r="43">
      <c r="A43" s="3">
        <v>42.0</v>
      </c>
      <c r="B43" s="4">
        <f t="shared" si="1"/>
        <v>3299447.069</v>
      </c>
      <c r="C43" s="4">
        <v>3119321.0</v>
      </c>
      <c r="D43" s="4">
        <f t="shared" si="2"/>
        <v>307247.6508</v>
      </c>
      <c r="E43" s="4">
        <f t="shared" si="3"/>
        <v>2812073.349</v>
      </c>
      <c r="F43" s="4">
        <f t="shared" si="4"/>
        <v>180126.0687</v>
      </c>
      <c r="G43" s="4">
        <f t="shared" si="5"/>
        <v>239734865.3</v>
      </c>
      <c r="H43" s="5">
        <v>47294.0</v>
      </c>
    </row>
    <row r="44">
      <c r="A44" s="3">
        <v>43.0</v>
      </c>
      <c r="B44" s="4">
        <f t="shared" si="1"/>
        <v>3299297.862</v>
      </c>
      <c r="C44" s="4">
        <v>3119321.0</v>
      </c>
      <c r="D44" s="4">
        <f t="shared" si="2"/>
        <v>310847.0315</v>
      </c>
      <c r="E44" s="4">
        <f t="shared" si="3"/>
        <v>2808473.969</v>
      </c>
      <c r="F44" s="4">
        <f t="shared" si="4"/>
        <v>179976.8621</v>
      </c>
      <c r="G44" s="4">
        <f t="shared" si="5"/>
        <v>239424018.2</v>
      </c>
      <c r="H44" s="5">
        <v>47324.0</v>
      </c>
    </row>
    <row r="45">
      <c r="A45" s="3">
        <v>44.0</v>
      </c>
      <c r="B45" s="4">
        <f t="shared" si="1"/>
        <v>3299146.908</v>
      </c>
      <c r="C45" s="4">
        <v>3119321.0</v>
      </c>
      <c r="D45" s="4">
        <f t="shared" si="2"/>
        <v>314488.5785</v>
      </c>
      <c r="E45" s="4">
        <f t="shared" si="3"/>
        <v>2804832.421</v>
      </c>
      <c r="F45" s="4">
        <f t="shared" si="4"/>
        <v>179825.9076</v>
      </c>
      <c r="G45" s="4">
        <f t="shared" si="5"/>
        <v>239109529.6</v>
      </c>
      <c r="H45" s="5">
        <v>47355.0</v>
      </c>
    </row>
    <row r="46">
      <c r="A46" s="3">
        <v>45.0</v>
      </c>
      <c r="B46" s="4">
        <f t="shared" si="1"/>
        <v>3298994.185</v>
      </c>
      <c r="C46" s="4">
        <v>3119321.0</v>
      </c>
      <c r="D46" s="4">
        <f t="shared" si="2"/>
        <v>318172.786</v>
      </c>
      <c r="E46" s="4">
        <f t="shared" si="3"/>
        <v>2801148.214</v>
      </c>
      <c r="F46" s="4">
        <f t="shared" si="4"/>
        <v>179673.1846</v>
      </c>
      <c r="G46" s="4">
        <f t="shared" si="5"/>
        <v>238791356.9</v>
      </c>
      <c r="H46" s="5">
        <v>47386.0</v>
      </c>
    </row>
    <row r="47">
      <c r="A47" s="3">
        <v>46.0</v>
      </c>
      <c r="B47" s="4">
        <f t="shared" si="1"/>
        <v>3298839.673</v>
      </c>
      <c r="C47" s="4">
        <v>3119321.0</v>
      </c>
      <c r="D47" s="4">
        <f t="shared" si="2"/>
        <v>321900.1537</v>
      </c>
      <c r="E47" s="4">
        <f t="shared" si="3"/>
        <v>2797420.846</v>
      </c>
      <c r="F47" s="4">
        <f t="shared" si="4"/>
        <v>179518.6726</v>
      </c>
      <c r="G47" s="4">
        <f t="shared" si="5"/>
        <v>238469456.7</v>
      </c>
      <c r="H47" s="5">
        <v>47416.0</v>
      </c>
    </row>
    <row r="48">
      <c r="A48" s="3">
        <v>47.0</v>
      </c>
      <c r="B48" s="4">
        <f t="shared" si="1"/>
        <v>3298683.35</v>
      </c>
      <c r="C48" s="4">
        <v>3119321.0</v>
      </c>
      <c r="D48" s="4">
        <f t="shared" si="2"/>
        <v>325671.1872</v>
      </c>
      <c r="E48" s="4">
        <f t="shared" si="3"/>
        <v>2793649.813</v>
      </c>
      <c r="F48" s="4">
        <f t="shared" si="4"/>
        <v>179362.3504</v>
      </c>
      <c r="G48" s="4">
        <f t="shared" si="5"/>
        <v>238143785.5</v>
      </c>
      <c r="H48" s="5">
        <v>47447.0</v>
      </c>
    </row>
    <row r="49">
      <c r="A49" s="3">
        <v>48.0</v>
      </c>
      <c r="B49" s="4">
        <f t="shared" si="1"/>
        <v>3298525.197</v>
      </c>
      <c r="C49" s="4">
        <v>3119321.0</v>
      </c>
      <c r="D49" s="4">
        <f t="shared" si="2"/>
        <v>329486.398</v>
      </c>
      <c r="E49" s="4">
        <f t="shared" si="3"/>
        <v>2789834.602</v>
      </c>
      <c r="F49" s="4">
        <f t="shared" si="4"/>
        <v>179204.1969</v>
      </c>
      <c r="G49" s="4">
        <f t="shared" si="5"/>
        <v>237814299.1</v>
      </c>
      <c r="H49" s="5">
        <v>47477.0</v>
      </c>
    </row>
    <row r="50">
      <c r="A50" s="3">
        <v>49.0</v>
      </c>
      <c r="B50" s="4">
        <f t="shared" si="1"/>
        <v>3298365.191</v>
      </c>
      <c r="C50" s="4">
        <v>3119321.0</v>
      </c>
      <c r="D50" s="4">
        <f t="shared" si="2"/>
        <v>333346.3037</v>
      </c>
      <c r="E50" s="4">
        <f t="shared" si="3"/>
        <v>2785974.696</v>
      </c>
      <c r="F50" s="4">
        <f t="shared" si="4"/>
        <v>179044.1907</v>
      </c>
      <c r="G50" s="4">
        <f t="shared" si="5"/>
        <v>237480952.8</v>
      </c>
      <c r="H50" s="5">
        <v>47508.0</v>
      </c>
    </row>
    <row r="51">
      <c r="A51" s="3">
        <v>50.0</v>
      </c>
      <c r="B51" s="4">
        <f t="shared" si="1"/>
        <v>3298203.31</v>
      </c>
      <c r="C51" s="4">
        <v>3119321.0</v>
      </c>
      <c r="D51" s="4">
        <f t="shared" si="2"/>
        <v>337251.4279</v>
      </c>
      <c r="E51" s="4">
        <f t="shared" si="3"/>
        <v>2782069.572</v>
      </c>
      <c r="F51" s="4">
        <f t="shared" si="4"/>
        <v>178882.31</v>
      </c>
      <c r="G51" s="4">
        <f t="shared" si="5"/>
        <v>237143701.4</v>
      </c>
      <c r="H51" s="5">
        <v>47539.0</v>
      </c>
    </row>
    <row r="52">
      <c r="A52" s="3">
        <v>51.0</v>
      </c>
      <c r="B52" s="4">
        <f t="shared" si="1"/>
        <v>3298039.533</v>
      </c>
      <c r="C52" s="4">
        <v>3119321.0</v>
      </c>
      <c r="D52" s="4">
        <f t="shared" si="2"/>
        <v>341202.3002</v>
      </c>
      <c r="E52" s="4">
        <f t="shared" si="3"/>
        <v>2778118.7</v>
      </c>
      <c r="F52" s="4">
        <f t="shared" si="4"/>
        <v>178718.5329</v>
      </c>
      <c r="G52" s="4">
        <f t="shared" si="5"/>
        <v>236802499.1</v>
      </c>
      <c r="H52" s="5">
        <v>47567.0</v>
      </c>
    </row>
    <row r="53">
      <c r="A53" s="3">
        <v>52.0</v>
      </c>
      <c r="B53" s="4">
        <f t="shared" si="1"/>
        <v>3297873.837</v>
      </c>
      <c r="C53" s="4">
        <v>3119321.0</v>
      </c>
      <c r="D53" s="4">
        <f t="shared" si="2"/>
        <v>345199.4568</v>
      </c>
      <c r="E53" s="4">
        <f t="shared" si="3"/>
        <v>2774121.543</v>
      </c>
      <c r="F53" s="4">
        <f t="shared" si="4"/>
        <v>178552.8372</v>
      </c>
      <c r="G53" s="4">
        <f t="shared" si="5"/>
        <v>236457299.6</v>
      </c>
      <c r="H53" s="5">
        <v>47598.0</v>
      </c>
    </row>
    <row r="54">
      <c r="A54" s="3">
        <v>53.0</v>
      </c>
      <c r="B54" s="4">
        <f t="shared" si="1"/>
        <v>3297706.2</v>
      </c>
      <c r="C54" s="4">
        <v>3119321.0</v>
      </c>
      <c r="D54" s="4">
        <f t="shared" si="2"/>
        <v>349243.4396</v>
      </c>
      <c r="E54" s="4">
        <f t="shared" si="3"/>
        <v>2770077.56</v>
      </c>
      <c r="F54" s="4">
        <f t="shared" si="4"/>
        <v>178385.2003</v>
      </c>
      <c r="G54" s="4">
        <f t="shared" si="5"/>
        <v>236108056.2</v>
      </c>
      <c r="H54" s="5">
        <v>47628.0</v>
      </c>
    </row>
    <row r="55">
      <c r="A55" s="3">
        <v>54.0</v>
      </c>
      <c r="B55" s="4">
        <f t="shared" si="1"/>
        <v>3297536.6</v>
      </c>
      <c r="C55" s="4">
        <v>3119321.0</v>
      </c>
      <c r="D55" s="4">
        <f t="shared" si="2"/>
        <v>353334.7974</v>
      </c>
      <c r="E55" s="4">
        <f t="shared" si="3"/>
        <v>2765986.203</v>
      </c>
      <c r="F55" s="4">
        <f t="shared" si="4"/>
        <v>178215.5996</v>
      </c>
      <c r="G55" s="4">
        <f t="shared" si="5"/>
        <v>235754721.4</v>
      </c>
      <c r="H55" s="5">
        <v>47659.0</v>
      </c>
    </row>
    <row r="56">
      <c r="A56" s="3">
        <v>55.0</v>
      </c>
      <c r="B56" s="4">
        <f t="shared" si="1"/>
        <v>3297365.012</v>
      </c>
      <c r="C56" s="4">
        <v>3119321.0</v>
      </c>
      <c r="D56" s="4">
        <f t="shared" si="2"/>
        <v>357474.0851</v>
      </c>
      <c r="E56" s="4">
        <f t="shared" si="3"/>
        <v>2761846.915</v>
      </c>
      <c r="F56" s="4">
        <f t="shared" si="4"/>
        <v>178044.012</v>
      </c>
      <c r="G56" s="4">
        <f t="shared" si="5"/>
        <v>235397247.3</v>
      </c>
      <c r="H56" s="5">
        <v>47689.0</v>
      </c>
    </row>
    <row r="57">
      <c r="A57" s="3">
        <v>56.0</v>
      </c>
      <c r="B57" s="4">
        <f t="shared" si="1"/>
        <v>3297191.414</v>
      </c>
      <c r="C57" s="4">
        <v>3119321.0</v>
      </c>
      <c r="D57" s="4">
        <f t="shared" si="2"/>
        <v>361661.8642</v>
      </c>
      <c r="E57" s="4">
        <f t="shared" si="3"/>
        <v>2757659.136</v>
      </c>
      <c r="F57" s="4">
        <f t="shared" si="4"/>
        <v>177870.4143</v>
      </c>
      <c r="G57" s="4">
        <f t="shared" si="5"/>
        <v>235035585.4</v>
      </c>
      <c r="H57" s="5">
        <v>47720.0</v>
      </c>
    </row>
    <row r="58">
      <c r="A58" s="3">
        <v>57.0</v>
      </c>
      <c r="B58" s="4">
        <f t="shared" si="1"/>
        <v>3297015.783</v>
      </c>
      <c r="C58" s="4">
        <v>3119321.0</v>
      </c>
      <c r="D58" s="4">
        <f t="shared" si="2"/>
        <v>365898.7028</v>
      </c>
      <c r="E58" s="4">
        <f t="shared" si="3"/>
        <v>2753422.297</v>
      </c>
      <c r="F58" s="4">
        <f t="shared" si="4"/>
        <v>177694.783</v>
      </c>
      <c r="G58" s="4">
        <f t="shared" si="5"/>
        <v>234669686.7</v>
      </c>
      <c r="H58" s="5">
        <v>47751.0</v>
      </c>
    </row>
    <row r="59">
      <c r="A59" s="3">
        <v>58.0</v>
      </c>
      <c r="B59" s="4">
        <f t="shared" si="1"/>
        <v>3296838.094</v>
      </c>
      <c r="C59" s="4">
        <v>3119321.0</v>
      </c>
      <c r="D59" s="4">
        <f t="shared" si="2"/>
        <v>370185.1756</v>
      </c>
      <c r="E59" s="4">
        <f t="shared" si="3"/>
        <v>2749135.824</v>
      </c>
      <c r="F59" s="4">
        <f t="shared" si="4"/>
        <v>177517.0941</v>
      </c>
      <c r="G59" s="4">
        <f t="shared" si="5"/>
        <v>234299501.6</v>
      </c>
      <c r="H59" s="5">
        <v>47781.0</v>
      </c>
    </row>
    <row r="60">
      <c r="A60" s="3">
        <v>59.0</v>
      </c>
      <c r="B60" s="4">
        <f t="shared" si="1"/>
        <v>3296658.324</v>
      </c>
      <c r="C60" s="4">
        <v>3119321.0</v>
      </c>
      <c r="D60" s="4">
        <f t="shared" si="2"/>
        <v>374521.8641</v>
      </c>
      <c r="E60" s="4">
        <f t="shared" si="3"/>
        <v>2744799.136</v>
      </c>
      <c r="F60" s="4">
        <f t="shared" si="4"/>
        <v>177337.3236</v>
      </c>
      <c r="G60" s="4">
        <f t="shared" si="5"/>
        <v>233924979.7</v>
      </c>
      <c r="H60" s="5">
        <v>47812.0</v>
      </c>
    </row>
    <row r="61">
      <c r="A61" s="3">
        <v>60.0</v>
      </c>
      <c r="B61" s="4">
        <f t="shared" si="1"/>
        <v>3296476.447</v>
      </c>
      <c r="C61" s="4">
        <v>3119321.0</v>
      </c>
      <c r="D61" s="4">
        <f t="shared" si="2"/>
        <v>378909.3566</v>
      </c>
      <c r="E61" s="4">
        <f t="shared" si="3"/>
        <v>2740411.643</v>
      </c>
      <c r="F61" s="4">
        <f t="shared" si="4"/>
        <v>177155.4471</v>
      </c>
      <c r="G61" s="4">
        <f t="shared" si="5"/>
        <v>233546070.3</v>
      </c>
      <c r="H61" s="5">
        <v>47842.0</v>
      </c>
    </row>
    <row r="62">
      <c r="A62" s="3">
        <v>61.0</v>
      </c>
      <c r="B62" s="4">
        <f t="shared" si="1"/>
        <v>3296292.44</v>
      </c>
      <c r="C62" s="4">
        <v>3119321.0</v>
      </c>
      <c r="D62" s="4">
        <f t="shared" si="2"/>
        <v>383348.2481</v>
      </c>
      <c r="E62" s="4">
        <f t="shared" si="3"/>
        <v>2735972.752</v>
      </c>
      <c r="F62" s="4">
        <f t="shared" si="4"/>
        <v>176971.4399</v>
      </c>
      <c r="G62" s="4">
        <f t="shared" si="5"/>
        <v>233162722.1</v>
      </c>
      <c r="H62" s="5">
        <v>47873.0</v>
      </c>
    </row>
    <row r="63">
      <c r="A63" s="3">
        <v>62.0</v>
      </c>
      <c r="B63" s="4">
        <f t="shared" si="1"/>
        <v>3296106.277</v>
      </c>
      <c r="C63" s="4">
        <v>3119321.0</v>
      </c>
      <c r="D63" s="4">
        <f t="shared" si="2"/>
        <v>387839.1409</v>
      </c>
      <c r="E63" s="4">
        <f t="shared" si="3"/>
        <v>2731481.859</v>
      </c>
      <c r="F63" s="4">
        <f t="shared" si="4"/>
        <v>176785.2772</v>
      </c>
      <c r="G63" s="4">
        <f t="shared" si="5"/>
        <v>232774883</v>
      </c>
      <c r="H63" s="5">
        <v>47904.0</v>
      </c>
    </row>
    <row r="64">
      <c r="A64" s="3">
        <v>63.0</v>
      </c>
      <c r="B64" s="4">
        <f t="shared" si="1"/>
        <v>3295917.933</v>
      </c>
      <c r="C64" s="4">
        <v>3119321.0</v>
      </c>
      <c r="D64" s="4">
        <f t="shared" si="2"/>
        <v>392382.6441</v>
      </c>
      <c r="E64" s="4">
        <f t="shared" si="3"/>
        <v>2726938.356</v>
      </c>
      <c r="F64" s="4">
        <f t="shared" si="4"/>
        <v>176596.9335</v>
      </c>
      <c r="G64" s="4">
        <f t="shared" si="5"/>
        <v>232382500.3</v>
      </c>
      <c r="H64" s="5">
        <v>47932.0</v>
      </c>
    </row>
    <row r="65">
      <c r="A65" s="3">
        <v>64.0</v>
      </c>
      <c r="B65" s="4">
        <f t="shared" si="1"/>
        <v>3295727.383</v>
      </c>
      <c r="C65" s="4">
        <v>3119321.0</v>
      </c>
      <c r="D65" s="4">
        <f t="shared" si="2"/>
        <v>396979.3741</v>
      </c>
      <c r="E65" s="4">
        <f t="shared" si="3"/>
        <v>2722341.626</v>
      </c>
      <c r="F65" s="4">
        <f t="shared" si="4"/>
        <v>176406.3834</v>
      </c>
      <c r="G65" s="4">
        <f t="shared" si="5"/>
        <v>231985520.9</v>
      </c>
      <c r="H65" s="5">
        <v>47963.0</v>
      </c>
    </row>
    <row r="66">
      <c r="A66" s="3">
        <v>65.0</v>
      </c>
      <c r="B66" s="4">
        <f t="shared" si="1"/>
        <v>3295534.601</v>
      </c>
      <c r="C66" s="4">
        <v>3119321.0</v>
      </c>
      <c r="D66" s="4">
        <f t="shared" si="2"/>
        <v>401629.9544</v>
      </c>
      <c r="E66" s="4">
        <f t="shared" si="3"/>
        <v>2717691.046</v>
      </c>
      <c r="F66" s="4">
        <f t="shared" si="4"/>
        <v>176213.601</v>
      </c>
      <c r="G66" s="4">
        <f t="shared" si="5"/>
        <v>231583891</v>
      </c>
      <c r="H66" s="5">
        <v>47993.0</v>
      </c>
    </row>
    <row r="67">
      <c r="A67" s="3">
        <v>66.0</v>
      </c>
      <c r="B67" s="4">
        <f t="shared" si="1"/>
        <v>3295339.56</v>
      </c>
      <c r="C67" s="4">
        <v>3119321.0</v>
      </c>
      <c r="D67" s="4">
        <f t="shared" si="2"/>
        <v>406335.0158</v>
      </c>
      <c r="E67" s="4">
        <f t="shared" si="3"/>
        <v>2712985.984</v>
      </c>
      <c r="F67" s="4">
        <f t="shared" si="4"/>
        <v>176018.5602</v>
      </c>
      <c r="G67" s="4">
        <f t="shared" si="5"/>
        <v>231177556</v>
      </c>
      <c r="H67" s="5">
        <v>48024.0</v>
      </c>
    </row>
    <row r="68">
      <c r="A68" s="3">
        <v>67.0</v>
      </c>
      <c r="B68" s="4">
        <f t="shared" si="1"/>
        <v>3295142.235</v>
      </c>
      <c r="C68" s="4">
        <v>3119321.0</v>
      </c>
      <c r="D68" s="4">
        <f t="shared" si="2"/>
        <v>411095.1967</v>
      </c>
      <c r="E68" s="4">
        <f t="shared" si="3"/>
        <v>2708225.803</v>
      </c>
      <c r="F68" s="4">
        <f t="shared" si="4"/>
        <v>175821.2345</v>
      </c>
      <c r="G68" s="4">
        <f t="shared" si="5"/>
        <v>230766460.8</v>
      </c>
      <c r="H68" s="5">
        <v>48054.0</v>
      </c>
    </row>
    <row r="69">
      <c r="A69" s="3">
        <v>68.0</v>
      </c>
      <c r="B69" s="4">
        <f t="shared" si="1"/>
        <v>3294942.597</v>
      </c>
      <c r="C69" s="4">
        <v>3119321.0</v>
      </c>
      <c r="D69" s="4">
        <f t="shared" si="2"/>
        <v>415911.1426</v>
      </c>
      <c r="E69" s="4">
        <f t="shared" si="3"/>
        <v>2703409.857</v>
      </c>
      <c r="F69" s="4">
        <f t="shared" si="4"/>
        <v>175621.5972</v>
      </c>
      <c r="G69" s="4">
        <f t="shared" si="5"/>
        <v>230350549.6</v>
      </c>
      <c r="H69" s="5">
        <v>48085.0</v>
      </c>
    </row>
    <row r="70">
      <c r="A70" s="3">
        <v>69.0</v>
      </c>
      <c r="B70" s="4">
        <f t="shared" si="1"/>
        <v>3294740.621</v>
      </c>
      <c r="C70" s="4">
        <v>3119321.0</v>
      </c>
      <c r="D70" s="4">
        <f t="shared" si="2"/>
        <v>420783.507</v>
      </c>
      <c r="E70" s="4">
        <f t="shared" si="3"/>
        <v>2698537.493</v>
      </c>
      <c r="F70" s="4">
        <f t="shared" si="4"/>
        <v>175419.6211</v>
      </c>
      <c r="G70" s="4">
        <f t="shared" si="5"/>
        <v>229929766.1</v>
      </c>
      <c r="H70" s="5">
        <v>48116.0</v>
      </c>
    </row>
    <row r="71">
      <c r="A71" s="3">
        <v>70.0</v>
      </c>
      <c r="B71" s="4">
        <f t="shared" si="1"/>
        <v>3294536.279</v>
      </c>
      <c r="C71" s="4">
        <v>3119321.0</v>
      </c>
      <c r="D71" s="4">
        <f t="shared" si="2"/>
        <v>425712.9507</v>
      </c>
      <c r="E71" s="4">
        <f t="shared" si="3"/>
        <v>2693608.049</v>
      </c>
      <c r="F71" s="4">
        <f t="shared" si="4"/>
        <v>175215.2789</v>
      </c>
      <c r="G71" s="4">
        <f t="shared" si="5"/>
        <v>229504053.2</v>
      </c>
      <c r="H71" s="5">
        <v>48146.0</v>
      </c>
    </row>
    <row r="72">
      <c r="A72" s="3">
        <v>71.0</v>
      </c>
      <c r="B72" s="4">
        <f t="shared" si="1"/>
        <v>3294329.543</v>
      </c>
      <c r="C72" s="4">
        <v>3119321.0</v>
      </c>
      <c r="D72" s="4">
        <f t="shared" si="2"/>
        <v>430700.1425</v>
      </c>
      <c r="E72" s="4">
        <f t="shared" si="3"/>
        <v>2688620.858</v>
      </c>
      <c r="F72" s="4">
        <f t="shared" si="4"/>
        <v>175008.5428</v>
      </c>
      <c r="G72" s="4">
        <f t="shared" si="5"/>
        <v>229073353</v>
      </c>
      <c r="H72" s="5">
        <v>48177.0</v>
      </c>
    </row>
    <row r="73">
      <c r="A73" s="3">
        <v>72.0</v>
      </c>
      <c r="B73" s="4">
        <f t="shared" si="1"/>
        <v>3294120.385</v>
      </c>
      <c r="C73" s="4">
        <v>3119321.0</v>
      </c>
      <c r="D73" s="4">
        <f t="shared" si="2"/>
        <v>435745.7587</v>
      </c>
      <c r="E73" s="4">
        <f t="shared" si="3"/>
        <v>2683575.241</v>
      </c>
      <c r="F73" s="4">
        <f t="shared" si="4"/>
        <v>174799.3848</v>
      </c>
      <c r="G73" s="4">
        <f t="shared" si="5"/>
        <v>228637607.3</v>
      </c>
      <c r="H73" s="5">
        <v>48207.0</v>
      </c>
    </row>
    <row r="74">
      <c r="A74" s="3">
        <v>73.0</v>
      </c>
      <c r="B74" s="4">
        <f t="shared" si="1"/>
        <v>3293908.777</v>
      </c>
      <c r="C74" s="4">
        <v>3119321.0</v>
      </c>
      <c r="D74" s="4">
        <f t="shared" si="2"/>
        <v>440850.484</v>
      </c>
      <c r="E74" s="4">
        <f t="shared" si="3"/>
        <v>2678470.516</v>
      </c>
      <c r="F74" s="4">
        <f t="shared" si="4"/>
        <v>174587.7766</v>
      </c>
      <c r="G74" s="4">
        <f t="shared" si="5"/>
        <v>228196756.8</v>
      </c>
      <c r="H74" s="5">
        <v>48238.0</v>
      </c>
    </row>
    <row r="75">
      <c r="A75" s="3">
        <v>74.0</v>
      </c>
      <c r="B75" s="4">
        <f t="shared" si="1"/>
        <v>3293694.689</v>
      </c>
      <c r="C75" s="4">
        <v>3119321.0</v>
      </c>
      <c r="D75" s="4">
        <f t="shared" si="2"/>
        <v>446015.0107</v>
      </c>
      <c r="E75" s="4">
        <f t="shared" si="3"/>
        <v>2673305.989</v>
      </c>
      <c r="F75" s="4">
        <f t="shared" si="4"/>
        <v>174373.6894</v>
      </c>
      <c r="G75" s="4">
        <f t="shared" si="5"/>
        <v>227750741.8</v>
      </c>
      <c r="H75" s="5">
        <v>48269.0</v>
      </c>
    </row>
    <row r="76">
      <c r="A76" s="3">
        <v>75.0</v>
      </c>
      <c r="B76" s="4">
        <f t="shared" si="1"/>
        <v>3293478.094</v>
      </c>
      <c r="C76" s="4">
        <v>3119321.0</v>
      </c>
      <c r="D76" s="4">
        <f t="shared" si="2"/>
        <v>451240.0394</v>
      </c>
      <c r="E76" s="4">
        <f t="shared" si="3"/>
        <v>2668080.961</v>
      </c>
      <c r="F76" s="4">
        <f t="shared" si="4"/>
        <v>174157.0942</v>
      </c>
      <c r="G76" s="4">
        <f t="shared" si="5"/>
        <v>227299501.7</v>
      </c>
      <c r="H76" s="5">
        <v>48298.0</v>
      </c>
    </row>
    <row r="77">
      <c r="A77" s="3">
        <v>76.0</v>
      </c>
      <c r="B77" s="4">
        <f t="shared" si="1"/>
        <v>3293258.962</v>
      </c>
      <c r="C77" s="4">
        <v>3119321.0</v>
      </c>
      <c r="D77" s="4">
        <f t="shared" si="2"/>
        <v>456526.2788</v>
      </c>
      <c r="E77" s="4">
        <f t="shared" si="3"/>
        <v>2662794.721</v>
      </c>
      <c r="F77" s="4">
        <f t="shared" si="4"/>
        <v>173937.9616</v>
      </c>
      <c r="G77" s="4">
        <f t="shared" si="5"/>
        <v>226842975.5</v>
      </c>
      <c r="H77" s="5">
        <v>48329.0</v>
      </c>
    </row>
    <row r="78">
      <c r="A78" s="3">
        <v>77.0</v>
      </c>
      <c r="B78" s="4">
        <f t="shared" si="1"/>
        <v>3293037.262</v>
      </c>
      <c r="C78" s="4">
        <v>3119321.0</v>
      </c>
      <c r="D78" s="4">
        <f t="shared" si="2"/>
        <v>461874.4461</v>
      </c>
      <c r="E78" s="4">
        <f t="shared" si="3"/>
        <v>2657446.554</v>
      </c>
      <c r="F78" s="4">
        <f t="shared" si="4"/>
        <v>173716.2618</v>
      </c>
      <c r="G78" s="4">
        <f t="shared" si="5"/>
        <v>226381101</v>
      </c>
      <c r="H78" s="5">
        <v>48359.0</v>
      </c>
    </row>
    <row r="79">
      <c r="A79" s="3">
        <v>78.0</v>
      </c>
      <c r="B79" s="4">
        <f t="shared" si="1"/>
        <v>3292812.965</v>
      </c>
      <c r="C79" s="4">
        <v>3119321.0</v>
      </c>
      <c r="D79" s="4">
        <f t="shared" si="2"/>
        <v>467285.2668</v>
      </c>
      <c r="E79" s="4">
        <f t="shared" si="3"/>
        <v>2652035.733</v>
      </c>
      <c r="F79" s="4">
        <f t="shared" si="4"/>
        <v>173491.9649</v>
      </c>
      <c r="G79" s="4">
        <f t="shared" si="5"/>
        <v>225913815.7</v>
      </c>
      <c r="H79" s="5">
        <v>48390.0</v>
      </c>
    </row>
    <row r="80">
      <c r="A80" s="3">
        <v>79.0</v>
      </c>
      <c r="B80" s="4">
        <f t="shared" si="1"/>
        <v>3292586.04</v>
      </c>
      <c r="C80" s="4">
        <v>3119321.0</v>
      </c>
      <c r="D80" s="4">
        <f t="shared" si="2"/>
        <v>472759.4747</v>
      </c>
      <c r="E80" s="4">
        <f t="shared" si="3"/>
        <v>2646561.525</v>
      </c>
      <c r="F80" s="4">
        <f t="shared" si="4"/>
        <v>173265.0403</v>
      </c>
      <c r="G80" s="4">
        <f t="shared" si="5"/>
        <v>225441056.3</v>
      </c>
      <c r="H80" s="5">
        <v>48420.0</v>
      </c>
    </row>
    <row r="81">
      <c r="A81" s="3">
        <v>80.0</v>
      </c>
      <c r="B81" s="4">
        <f t="shared" si="1"/>
        <v>3292356.457</v>
      </c>
      <c r="C81" s="4">
        <v>3119321.0</v>
      </c>
      <c r="D81" s="4">
        <f t="shared" si="2"/>
        <v>478297.8126</v>
      </c>
      <c r="E81" s="4">
        <f t="shared" si="3"/>
        <v>2641023.187</v>
      </c>
      <c r="F81" s="4">
        <f t="shared" si="4"/>
        <v>173035.4574</v>
      </c>
      <c r="G81" s="4">
        <f t="shared" si="5"/>
        <v>224962758.5</v>
      </c>
      <c r="H81" s="5">
        <v>48451.0</v>
      </c>
    </row>
    <row r="82">
      <c r="A82" s="3">
        <v>81.0</v>
      </c>
      <c r="B82" s="4">
        <f t="shared" si="1"/>
        <v>3292124.185</v>
      </c>
      <c r="C82" s="4">
        <v>3119321.0</v>
      </c>
      <c r="D82" s="4">
        <f t="shared" si="2"/>
        <v>483901.0316</v>
      </c>
      <c r="E82" s="4">
        <f t="shared" si="3"/>
        <v>2635419.968</v>
      </c>
      <c r="F82" s="4">
        <f t="shared" si="4"/>
        <v>172803.1849</v>
      </c>
      <c r="G82" s="4">
        <f t="shared" si="5"/>
        <v>224478857.4</v>
      </c>
      <c r="H82" s="5">
        <v>48482.0</v>
      </c>
    </row>
    <row r="83">
      <c r="A83" s="3">
        <v>82.0</v>
      </c>
      <c r="B83" s="4">
        <f t="shared" si="1"/>
        <v>3291889.191</v>
      </c>
      <c r="C83" s="4">
        <v>3119321.0</v>
      </c>
      <c r="D83" s="4">
        <f t="shared" si="2"/>
        <v>489569.8919</v>
      </c>
      <c r="E83" s="4">
        <f t="shared" si="3"/>
        <v>2629751.108</v>
      </c>
      <c r="F83" s="4">
        <f t="shared" si="4"/>
        <v>172568.1913</v>
      </c>
      <c r="G83" s="4">
        <f t="shared" si="5"/>
        <v>223989287.5</v>
      </c>
      <c r="H83" s="5">
        <v>48512.0</v>
      </c>
    </row>
    <row r="84">
      <c r="A84" s="3">
        <v>83.0</v>
      </c>
      <c r="B84" s="4">
        <f t="shared" si="1"/>
        <v>3291651.445</v>
      </c>
      <c r="C84" s="4">
        <v>3119321.0</v>
      </c>
      <c r="D84" s="4">
        <f t="shared" si="2"/>
        <v>495305.1623</v>
      </c>
      <c r="E84" s="4">
        <f t="shared" si="3"/>
        <v>2624015.838</v>
      </c>
      <c r="F84" s="4">
        <f t="shared" si="4"/>
        <v>172330.4449</v>
      </c>
      <c r="G84" s="4">
        <f t="shared" si="5"/>
        <v>223493982.4</v>
      </c>
      <c r="H84" s="5">
        <v>48543.0</v>
      </c>
    </row>
    <row r="85">
      <c r="A85" s="3">
        <v>84.0</v>
      </c>
      <c r="B85" s="4">
        <f t="shared" si="1"/>
        <v>3291410.913</v>
      </c>
      <c r="C85" s="4">
        <v>3119321.0</v>
      </c>
      <c r="D85" s="4">
        <f t="shared" si="2"/>
        <v>501107.621</v>
      </c>
      <c r="E85" s="4">
        <f t="shared" si="3"/>
        <v>2618213.379</v>
      </c>
      <c r="F85" s="4">
        <f t="shared" si="4"/>
        <v>172089.9132</v>
      </c>
      <c r="G85" s="4">
        <f t="shared" si="5"/>
        <v>222992874.7</v>
      </c>
      <c r="H85" s="5">
        <v>48573.0</v>
      </c>
    </row>
    <row r="86">
      <c r="A86" s="3">
        <v>85.0</v>
      </c>
      <c r="B86" s="4">
        <f t="shared" si="1"/>
        <v>3291167.564</v>
      </c>
      <c r="C86" s="4">
        <v>3119321.0</v>
      </c>
      <c r="D86" s="4">
        <f t="shared" si="2"/>
        <v>506978.0551</v>
      </c>
      <c r="E86" s="4">
        <f t="shared" si="3"/>
        <v>2612342.945</v>
      </c>
      <c r="F86" s="4">
        <f t="shared" si="4"/>
        <v>171846.5637</v>
      </c>
      <c r="G86" s="4">
        <f t="shared" si="5"/>
        <v>222485896.7</v>
      </c>
      <c r="H86" s="5">
        <v>48604.0</v>
      </c>
    </row>
    <row r="87">
      <c r="A87" s="3">
        <v>86.0</v>
      </c>
      <c r="B87" s="4">
        <f t="shared" si="1"/>
        <v>3290921.363</v>
      </c>
      <c r="C87" s="4">
        <v>3119321.0</v>
      </c>
      <c r="D87" s="4">
        <f t="shared" si="2"/>
        <v>512917.2607</v>
      </c>
      <c r="E87" s="4">
        <f t="shared" si="3"/>
        <v>2606403.739</v>
      </c>
      <c r="F87" s="4">
        <f t="shared" si="4"/>
        <v>171600.3635</v>
      </c>
      <c r="G87" s="4">
        <f t="shared" si="5"/>
        <v>221972979.4</v>
      </c>
      <c r="H87" s="5">
        <v>48635.0</v>
      </c>
    </row>
    <row r="88">
      <c r="A88" s="3">
        <v>87.0</v>
      </c>
      <c r="B88" s="4">
        <f t="shared" si="1"/>
        <v>3290672.279</v>
      </c>
      <c r="C88" s="4">
        <v>3119321.0</v>
      </c>
      <c r="D88" s="4">
        <f t="shared" si="2"/>
        <v>518926.0437</v>
      </c>
      <c r="E88" s="4">
        <f t="shared" si="3"/>
        <v>2600394.956</v>
      </c>
      <c r="F88" s="4">
        <f t="shared" si="4"/>
        <v>171351.279</v>
      </c>
      <c r="G88" s="4">
        <f t="shared" si="5"/>
        <v>221454053.4</v>
      </c>
      <c r="H88" s="5">
        <v>48663.0</v>
      </c>
    </row>
    <row r="89">
      <c r="A89" s="3">
        <v>88.0</v>
      </c>
      <c r="B89" s="4">
        <f t="shared" si="1"/>
        <v>3290420.276</v>
      </c>
      <c r="C89" s="4">
        <v>3119321.0</v>
      </c>
      <c r="D89" s="4">
        <f t="shared" si="2"/>
        <v>525005.2191</v>
      </c>
      <c r="E89" s="4">
        <f t="shared" si="3"/>
        <v>2594315.781</v>
      </c>
      <c r="F89" s="4">
        <f t="shared" si="4"/>
        <v>171099.2765</v>
      </c>
      <c r="G89" s="4">
        <f t="shared" si="5"/>
        <v>220929048.2</v>
      </c>
      <c r="H89" s="5">
        <v>48694.0</v>
      </c>
    </row>
    <row r="90">
      <c r="A90" s="3">
        <v>89.0</v>
      </c>
      <c r="B90" s="4">
        <f t="shared" si="1"/>
        <v>3290165.322</v>
      </c>
      <c r="C90" s="4">
        <v>3119321.0</v>
      </c>
      <c r="D90" s="4">
        <f t="shared" si="2"/>
        <v>531155.6114</v>
      </c>
      <c r="E90" s="4">
        <f t="shared" si="3"/>
        <v>2588165.389</v>
      </c>
      <c r="F90" s="4">
        <f t="shared" si="4"/>
        <v>170844.3218</v>
      </c>
      <c r="G90" s="4">
        <f t="shared" si="5"/>
        <v>220397892.6</v>
      </c>
      <c r="H90" s="5">
        <v>48724.0</v>
      </c>
    </row>
    <row r="91">
      <c r="A91" s="3">
        <v>90.0</v>
      </c>
      <c r="B91" s="4">
        <f t="shared" si="1"/>
        <v>3289907.38</v>
      </c>
      <c r="C91" s="4">
        <v>3119321.0</v>
      </c>
      <c r="D91" s="4">
        <f t="shared" si="2"/>
        <v>537378.0552</v>
      </c>
      <c r="E91" s="4">
        <f t="shared" si="3"/>
        <v>2581942.945</v>
      </c>
      <c r="F91" s="4">
        <f t="shared" si="4"/>
        <v>170586.3803</v>
      </c>
      <c r="G91" s="4">
        <f t="shared" si="5"/>
        <v>219860514.5</v>
      </c>
      <c r="H91" s="5">
        <v>48755.0</v>
      </c>
    </row>
    <row r="92">
      <c r="A92" s="3">
        <v>91.0</v>
      </c>
      <c r="B92" s="4">
        <f t="shared" si="1"/>
        <v>3289646.417</v>
      </c>
      <c r="C92" s="4">
        <v>3119321.0</v>
      </c>
      <c r="D92" s="4">
        <f t="shared" si="2"/>
        <v>543673.3943</v>
      </c>
      <c r="E92" s="4">
        <f t="shared" si="3"/>
        <v>2575647.606</v>
      </c>
      <c r="F92" s="4">
        <f t="shared" si="4"/>
        <v>170325.4171</v>
      </c>
      <c r="G92" s="4">
        <f t="shared" si="5"/>
        <v>219316841.1</v>
      </c>
      <c r="H92" s="5">
        <v>48785.0</v>
      </c>
    </row>
    <row r="93">
      <c r="A93" s="3">
        <v>92.0</v>
      </c>
      <c r="B93" s="4">
        <f t="shared" si="1"/>
        <v>3289382.397</v>
      </c>
      <c r="C93" s="4">
        <v>3119321.0</v>
      </c>
      <c r="D93" s="4">
        <f t="shared" si="2"/>
        <v>550042.4828</v>
      </c>
      <c r="E93" s="4">
        <f t="shared" si="3"/>
        <v>2569278.517</v>
      </c>
      <c r="F93" s="4">
        <f t="shared" si="4"/>
        <v>170061.3967</v>
      </c>
      <c r="G93" s="4">
        <f t="shared" si="5"/>
        <v>218766798.6</v>
      </c>
      <c r="H93" s="5">
        <v>48816.0</v>
      </c>
    </row>
    <row r="94">
      <c r="A94" s="3">
        <v>93.0</v>
      </c>
      <c r="B94" s="4">
        <f t="shared" si="1"/>
        <v>3289115.283</v>
      </c>
      <c r="C94" s="4">
        <v>3119321.0</v>
      </c>
      <c r="D94" s="4">
        <f t="shared" si="2"/>
        <v>556486.1847</v>
      </c>
      <c r="E94" s="4">
        <f t="shared" si="3"/>
        <v>2562834.815</v>
      </c>
      <c r="F94" s="4">
        <f t="shared" si="4"/>
        <v>169794.2833</v>
      </c>
      <c r="G94" s="4">
        <f t="shared" si="5"/>
        <v>218210312.4</v>
      </c>
      <c r="H94" s="5">
        <v>48847.0</v>
      </c>
    </row>
    <row r="95">
      <c r="A95" s="3">
        <v>94.0</v>
      </c>
      <c r="B95" s="4">
        <f t="shared" si="1"/>
        <v>3288845.041</v>
      </c>
      <c r="C95" s="4">
        <v>3119321.0</v>
      </c>
      <c r="D95" s="4">
        <f t="shared" si="2"/>
        <v>563005.3739</v>
      </c>
      <c r="E95" s="4">
        <f t="shared" si="3"/>
        <v>2556315.626</v>
      </c>
      <c r="F95" s="4">
        <f t="shared" si="4"/>
        <v>169524.0407</v>
      </c>
      <c r="G95" s="4">
        <f t="shared" si="5"/>
        <v>217647307.1</v>
      </c>
      <c r="H95" s="5">
        <v>48877.0</v>
      </c>
    </row>
    <row r="96">
      <c r="A96" s="3">
        <v>95.0</v>
      </c>
      <c r="B96" s="4">
        <f t="shared" si="1"/>
        <v>3288571.632</v>
      </c>
      <c r="C96" s="4">
        <v>3119321.0</v>
      </c>
      <c r="D96" s="4">
        <f t="shared" si="2"/>
        <v>569600.935</v>
      </c>
      <c r="E96" s="4">
        <f t="shared" si="3"/>
        <v>2549720.065</v>
      </c>
      <c r="F96" s="4">
        <f t="shared" si="4"/>
        <v>169250.6323</v>
      </c>
      <c r="G96" s="4">
        <f t="shared" si="5"/>
        <v>217077706.1</v>
      </c>
      <c r="H96" s="5">
        <v>48908.0</v>
      </c>
    </row>
    <row r="97">
      <c r="A97" s="3">
        <v>96.0</v>
      </c>
      <c r="B97" s="4">
        <f t="shared" si="1"/>
        <v>3288295.021</v>
      </c>
      <c r="C97" s="4">
        <v>3119321.0</v>
      </c>
      <c r="D97" s="4">
        <f t="shared" si="2"/>
        <v>576273.7625</v>
      </c>
      <c r="E97" s="4">
        <f t="shared" si="3"/>
        <v>2543047.238</v>
      </c>
      <c r="F97" s="4">
        <f t="shared" si="4"/>
        <v>168974.0209</v>
      </c>
      <c r="G97" s="4">
        <f t="shared" si="5"/>
        <v>216501432.4</v>
      </c>
      <c r="H97" s="5">
        <v>48938.0</v>
      </c>
    </row>
    <row r="98">
      <c r="A98" s="3">
        <v>97.0</v>
      </c>
      <c r="B98" s="4">
        <f t="shared" si="1"/>
        <v>3288015.169</v>
      </c>
      <c r="C98" s="4">
        <v>3119321.0</v>
      </c>
      <c r="D98" s="4">
        <f t="shared" si="2"/>
        <v>583024.7616</v>
      </c>
      <c r="E98" s="4">
        <f t="shared" si="3"/>
        <v>2536296.238</v>
      </c>
      <c r="F98" s="4">
        <f t="shared" si="4"/>
        <v>168694.169</v>
      </c>
      <c r="G98" s="4">
        <f t="shared" si="5"/>
        <v>215918407.6</v>
      </c>
      <c r="H98" s="5">
        <v>48969.0</v>
      </c>
    </row>
    <row r="99">
      <c r="A99" s="3">
        <v>98.0</v>
      </c>
      <c r="B99" s="4">
        <f t="shared" si="1"/>
        <v>3287732.039</v>
      </c>
      <c r="C99" s="4">
        <v>3119321.0</v>
      </c>
      <c r="D99" s="4">
        <f t="shared" si="2"/>
        <v>589854.8481</v>
      </c>
      <c r="E99" s="4">
        <f t="shared" si="3"/>
        <v>2529466.152</v>
      </c>
      <c r="F99" s="4">
        <f t="shared" si="4"/>
        <v>168411.0387</v>
      </c>
      <c r="G99" s="4">
        <f t="shared" si="5"/>
        <v>215328552.8</v>
      </c>
      <c r="H99" s="5">
        <v>49000.0</v>
      </c>
    </row>
    <row r="100">
      <c r="A100" s="3">
        <v>99.0</v>
      </c>
      <c r="B100" s="4">
        <f t="shared" si="1"/>
        <v>3287445.591</v>
      </c>
      <c r="C100" s="4">
        <v>3119321.0</v>
      </c>
      <c r="D100" s="4">
        <f t="shared" si="2"/>
        <v>596764.9485</v>
      </c>
      <c r="E100" s="4">
        <f t="shared" si="3"/>
        <v>2522556.052</v>
      </c>
      <c r="F100" s="4">
        <f t="shared" si="4"/>
        <v>168124.5915</v>
      </c>
      <c r="G100" s="4">
        <f t="shared" si="5"/>
        <v>214731787.8</v>
      </c>
      <c r="H100" s="5">
        <v>49028.0</v>
      </c>
    </row>
    <row r="101">
      <c r="A101" s="3">
        <v>100.0</v>
      </c>
      <c r="B101" s="4">
        <f t="shared" si="1"/>
        <v>3287155.789</v>
      </c>
      <c r="C101" s="4">
        <v>3119321.0</v>
      </c>
      <c r="D101" s="4">
        <f t="shared" si="2"/>
        <v>603756.0001</v>
      </c>
      <c r="E101" s="4">
        <f t="shared" si="3"/>
        <v>2515565</v>
      </c>
      <c r="F101" s="4">
        <f t="shared" si="4"/>
        <v>167834.7886</v>
      </c>
      <c r="G101" s="4">
        <f t="shared" si="5"/>
        <v>214128031.8</v>
      </c>
      <c r="H101" s="5">
        <v>49059.0</v>
      </c>
    </row>
    <row r="102">
      <c r="A102" s="3">
        <v>101.0</v>
      </c>
      <c r="B102" s="4">
        <f t="shared" si="1"/>
        <v>3286862.591</v>
      </c>
      <c r="C102" s="4">
        <v>3119321.0</v>
      </c>
      <c r="D102" s="4">
        <f t="shared" si="2"/>
        <v>610828.9513</v>
      </c>
      <c r="E102" s="4">
        <f t="shared" si="3"/>
        <v>2508492.049</v>
      </c>
      <c r="F102" s="4">
        <f t="shared" si="4"/>
        <v>167541.5907</v>
      </c>
      <c r="G102" s="4">
        <f t="shared" si="5"/>
        <v>213517202.9</v>
      </c>
      <c r="H102" s="5">
        <v>49089.0</v>
      </c>
    </row>
    <row r="103">
      <c r="A103" s="3">
        <v>102.0</v>
      </c>
      <c r="B103" s="4">
        <f t="shared" si="1"/>
        <v>3286565.958</v>
      </c>
      <c r="C103" s="4">
        <v>3119321.0</v>
      </c>
      <c r="D103" s="4">
        <f t="shared" si="2"/>
        <v>617984.7616</v>
      </c>
      <c r="E103" s="4">
        <f t="shared" si="3"/>
        <v>2501336.238</v>
      </c>
      <c r="F103" s="4">
        <f t="shared" si="4"/>
        <v>167244.958</v>
      </c>
      <c r="G103" s="4">
        <f t="shared" si="5"/>
        <v>212899218.1</v>
      </c>
      <c r="H103" s="5">
        <v>49120.0</v>
      </c>
    </row>
    <row r="104">
      <c r="A104" s="3">
        <v>103.0</v>
      </c>
      <c r="B104" s="4">
        <f t="shared" si="1"/>
        <v>3286265.85</v>
      </c>
      <c r="C104" s="4">
        <v>3119321.0</v>
      </c>
      <c r="D104" s="4">
        <f t="shared" si="2"/>
        <v>625224.4016</v>
      </c>
      <c r="E104" s="4">
        <f t="shared" si="3"/>
        <v>2494096.598</v>
      </c>
      <c r="F104" s="4">
        <f t="shared" si="4"/>
        <v>166944.8503</v>
      </c>
      <c r="G104" s="4">
        <f t="shared" si="5"/>
        <v>212273993.7</v>
      </c>
      <c r="H104" s="5">
        <v>49150.0</v>
      </c>
    </row>
    <row r="105">
      <c r="A105" s="3">
        <v>104.0</v>
      </c>
      <c r="B105" s="4">
        <f t="shared" si="1"/>
        <v>3285962.227</v>
      </c>
      <c r="C105" s="4">
        <v>3119321.0</v>
      </c>
      <c r="D105" s="4">
        <f t="shared" si="2"/>
        <v>632548.8533</v>
      </c>
      <c r="E105" s="4">
        <f t="shared" si="3"/>
        <v>2486772.147</v>
      </c>
      <c r="F105" s="4">
        <f t="shared" si="4"/>
        <v>166641.2269</v>
      </c>
      <c r="G105" s="4">
        <f t="shared" si="5"/>
        <v>211641444.8</v>
      </c>
      <c r="H105" s="5">
        <v>49181.0</v>
      </c>
    </row>
    <row r="106">
      <c r="A106" s="3">
        <v>105.0</v>
      </c>
      <c r="B106" s="4">
        <f t="shared" si="1"/>
        <v>3285655.046</v>
      </c>
      <c r="C106" s="4">
        <v>3119321.0</v>
      </c>
      <c r="D106" s="4">
        <f t="shared" si="2"/>
        <v>639959.1104</v>
      </c>
      <c r="E106" s="4">
        <f t="shared" si="3"/>
        <v>2479361.89</v>
      </c>
      <c r="F106" s="4">
        <f t="shared" si="4"/>
        <v>166334.0465</v>
      </c>
      <c r="G106" s="4">
        <f t="shared" si="5"/>
        <v>211001485.7</v>
      </c>
      <c r="H106" s="5">
        <v>49212.0</v>
      </c>
    </row>
    <row r="107">
      <c r="A107" s="3">
        <v>106.0</v>
      </c>
      <c r="B107" s="4">
        <f t="shared" si="1"/>
        <v>3285344.268</v>
      </c>
      <c r="C107" s="4">
        <v>3119321.0</v>
      </c>
      <c r="D107" s="4">
        <f t="shared" si="2"/>
        <v>647456.1781</v>
      </c>
      <c r="E107" s="4">
        <f t="shared" si="3"/>
        <v>2471864.822</v>
      </c>
      <c r="F107" s="4">
        <f t="shared" si="4"/>
        <v>166023.2675</v>
      </c>
      <c r="G107" s="4">
        <f t="shared" si="5"/>
        <v>210354029.6</v>
      </c>
      <c r="H107" s="5">
        <v>49242.0</v>
      </c>
    </row>
    <row r="108">
      <c r="A108" s="3">
        <v>107.0</v>
      </c>
      <c r="B108" s="4">
        <f t="shared" si="1"/>
        <v>3285029.848</v>
      </c>
      <c r="C108" s="4">
        <v>3119321.0</v>
      </c>
      <c r="D108" s="4">
        <f t="shared" si="2"/>
        <v>655041.0733</v>
      </c>
      <c r="E108" s="4">
        <f t="shared" si="3"/>
        <v>2464279.927</v>
      </c>
      <c r="F108" s="4">
        <f t="shared" si="4"/>
        <v>165708.8478</v>
      </c>
      <c r="G108" s="4">
        <f t="shared" si="5"/>
        <v>209698988.5</v>
      </c>
      <c r="H108" s="5">
        <v>49273.0</v>
      </c>
    </row>
    <row r="109">
      <c r="A109" s="3">
        <v>108.0</v>
      </c>
      <c r="B109" s="4">
        <f t="shared" si="1"/>
        <v>3284711.745</v>
      </c>
      <c r="C109" s="4">
        <v>3119321.0</v>
      </c>
      <c r="D109" s="4">
        <f t="shared" si="2"/>
        <v>662714.8248</v>
      </c>
      <c r="E109" s="4">
        <f t="shared" si="3"/>
        <v>2456606.175</v>
      </c>
      <c r="F109" s="4">
        <f t="shared" si="4"/>
        <v>165390.7447</v>
      </c>
      <c r="G109" s="4">
        <f t="shared" si="5"/>
        <v>209036273.7</v>
      </c>
      <c r="H109" s="5">
        <v>49303.0</v>
      </c>
    </row>
    <row r="110">
      <c r="A110" s="3">
        <v>109.0</v>
      </c>
      <c r="B110" s="4">
        <f t="shared" si="1"/>
        <v>3284389.915</v>
      </c>
      <c r="C110" s="4">
        <v>3119321.0</v>
      </c>
      <c r="D110" s="4">
        <f t="shared" si="2"/>
        <v>670478.4738</v>
      </c>
      <c r="E110" s="4">
        <f t="shared" si="3"/>
        <v>2448842.526</v>
      </c>
      <c r="F110" s="4">
        <f t="shared" si="4"/>
        <v>165068.915</v>
      </c>
      <c r="G110" s="4">
        <f t="shared" si="5"/>
        <v>208365795.2</v>
      </c>
      <c r="H110" s="5">
        <v>49334.0</v>
      </c>
    </row>
    <row r="111">
      <c r="A111" s="3">
        <v>110.0</v>
      </c>
      <c r="B111" s="4">
        <f t="shared" si="1"/>
        <v>3284064.315</v>
      </c>
      <c r="C111" s="4">
        <v>3119321.0</v>
      </c>
      <c r="D111" s="4">
        <f t="shared" si="2"/>
        <v>678333.0732</v>
      </c>
      <c r="E111" s="4">
        <f t="shared" si="3"/>
        <v>2440987.927</v>
      </c>
      <c r="F111" s="4">
        <f t="shared" si="4"/>
        <v>164743.3151</v>
      </c>
      <c r="G111" s="4">
        <f t="shared" si="5"/>
        <v>207687462.1</v>
      </c>
      <c r="H111" s="5">
        <v>49365.0</v>
      </c>
    </row>
    <row r="112">
      <c r="A112" s="3">
        <v>111.0</v>
      </c>
      <c r="B112" s="4">
        <f t="shared" si="1"/>
        <v>3283734.901</v>
      </c>
      <c r="C112" s="4">
        <v>3119321.0</v>
      </c>
      <c r="D112" s="4">
        <f t="shared" si="2"/>
        <v>686279.6887</v>
      </c>
      <c r="E112" s="4">
        <f t="shared" si="3"/>
        <v>2433041.311</v>
      </c>
      <c r="F112" s="4">
        <f t="shared" si="4"/>
        <v>164413.9009</v>
      </c>
      <c r="G112" s="4">
        <f t="shared" si="5"/>
        <v>207001182.4</v>
      </c>
      <c r="H112" s="5">
        <v>49393.0</v>
      </c>
    </row>
    <row r="113">
      <c r="A113" s="3">
        <v>112.0</v>
      </c>
      <c r="B113" s="4">
        <f t="shared" si="1"/>
        <v>3283401.628</v>
      </c>
      <c r="C113" s="4">
        <v>3119321.0</v>
      </c>
      <c r="D113" s="4">
        <f t="shared" si="2"/>
        <v>694319.398</v>
      </c>
      <c r="E113" s="4">
        <f t="shared" si="3"/>
        <v>2425001.602</v>
      </c>
      <c r="F113" s="4">
        <f t="shared" si="4"/>
        <v>164080.6276</v>
      </c>
      <c r="G113" s="4">
        <f t="shared" si="5"/>
        <v>206306863</v>
      </c>
      <c r="H113" s="5">
        <v>49424.0</v>
      </c>
    </row>
    <row r="114">
      <c r="A114" s="3">
        <v>113.0</v>
      </c>
      <c r="B114" s="4">
        <f t="shared" si="1"/>
        <v>3283064.45</v>
      </c>
      <c r="C114" s="4">
        <v>3119321.0</v>
      </c>
      <c r="D114" s="4">
        <f t="shared" si="2"/>
        <v>702453.2919</v>
      </c>
      <c r="E114" s="4">
        <f t="shared" si="3"/>
        <v>2416867.708</v>
      </c>
      <c r="F114" s="4">
        <f t="shared" si="4"/>
        <v>163743.45</v>
      </c>
      <c r="G114" s="4">
        <f t="shared" si="5"/>
        <v>205604409.7</v>
      </c>
      <c r="H114" s="5">
        <v>49454.0</v>
      </c>
    </row>
    <row r="115">
      <c r="A115" s="3">
        <v>114.0</v>
      </c>
      <c r="B115" s="4">
        <f t="shared" si="1"/>
        <v>3282723.322</v>
      </c>
      <c r="C115" s="4">
        <v>3119321.0</v>
      </c>
      <c r="D115" s="4">
        <f t="shared" si="2"/>
        <v>710682.4737</v>
      </c>
      <c r="E115" s="4">
        <f t="shared" si="3"/>
        <v>2408638.526</v>
      </c>
      <c r="F115" s="4">
        <f t="shared" si="4"/>
        <v>163402.3224</v>
      </c>
      <c r="G115" s="4">
        <f t="shared" si="5"/>
        <v>204893727.3</v>
      </c>
      <c r="H115" s="5">
        <v>49485.0</v>
      </c>
    </row>
    <row r="116">
      <c r="A116" s="3">
        <v>115.0</v>
      </c>
      <c r="B116" s="4">
        <f t="shared" si="1"/>
        <v>3282378.199</v>
      </c>
      <c r="C116" s="4">
        <v>3119321.0</v>
      </c>
      <c r="D116" s="4">
        <f t="shared" si="2"/>
        <v>719008.0597</v>
      </c>
      <c r="E116" s="4">
        <f t="shared" si="3"/>
        <v>2400312.94</v>
      </c>
      <c r="F116" s="4">
        <f t="shared" si="4"/>
        <v>163057.1985</v>
      </c>
      <c r="G116" s="4">
        <f t="shared" si="5"/>
        <v>204174719.2</v>
      </c>
      <c r="H116" s="5">
        <v>49515.0</v>
      </c>
    </row>
    <row r="117">
      <c r="A117" s="3">
        <v>116.0</v>
      </c>
      <c r="B117" s="4">
        <f t="shared" si="1"/>
        <v>3282029.032</v>
      </c>
      <c r="C117" s="4">
        <v>3119321.0</v>
      </c>
      <c r="D117" s="4">
        <f t="shared" si="2"/>
        <v>727431.1792</v>
      </c>
      <c r="E117" s="4">
        <f t="shared" si="3"/>
        <v>2391889.821</v>
      </c>
      <c r="F117" s="4">
        <f t="shared" si="4"/>
        <v>162708.0316</v>
      </c>
      <c r="G117" s="4">
        <f t="shared" si="5"/>
        <v>203447288</v>
      </c>
      <c r="H117" s="5">
        <v>49546.0</v>
      </c>
    </row>
    <row r="118">
      <c r="A118" s="3">
        <v>117.0</v>
      </c>
      <c r="B118" s="4">
        <f t="shared" si="1"/>
        <v>3281675.774</v>
      </c>
      <c r="C118" s="4">
        <v>3119321.0</v>
      </c>
      <c r="D118" s="4">
        <f t="shared" si="2"/>
        <v>735952.9748</v>
      </c>
      <c r="E118" s="4">
        <f t="shared" si="3"/>
        <v>2383368.025</v>
      </c>
      <c r="F118" s="4">
        <f t="shared" si="4"/>
        <v>162354.7742</v>
      </c>
      <c r="G118" s="4">
        <f t="shared" si="5"/>
        <v>202711335</v>
      </c>
      <c r="H118" s="5">
        <v>49577.0</v>
      </c>
    </row>
    <row r="119">
      <c r="A119" s="3">
        <v>118.0</v>
      </c>
      <c r="B119" s="4">
        <f t="shared" si="1"/>
        <v>3281318.378</v>
      </c>
      <c r="C119" s="4">
        <v>3119321.0</v>
      </c>
      <c r="D119" s="4">
        <f t="shared" si="2"/>
        <v>744574.6026</v>
      </c>
      <c r="E119" s="4">
        <f t="shared" si="3"/>
        <v>2374746.397</v>
      </c>
      <c r="F119" s="4">
        <f t="shared" si="4"/>
        <v>161997.3783</v>
      </c>
      <c r="G119" s="4">
        <f t="shared" si="5"/>
        <v>201966760.4</v>
      </c>
      <c r="H119" s="5">
        <v>49607.0</v>
      </c>
    </row>
    <row r="120">
      <c r="A120" s="3">
        <v>119.0</v>
      </c>
      <c r="B120" s="4">
        <f t="shared" si="1"/>
        <v>3280956.796</v>
      </c>
      <c r="C120" s="4">
        <v>3119321.0</v>
      </c>
      <c r="D120" s="4">
        <f t="shared" si="2"/>
        <v>753297.232</v>
      </c>
      <c r="E120" s="4">
        <f t="shared" si="3"/>
        <v>2366023.768</v>
      </c>
      <c r="F120" s="4">
        <f t="shared" si="4"/>
        <v>161635.7957</v>
      </c>
      <c r="G120" s="4">
        <f t="shared" si="5"/>
        <v>201213463.2</v>
      </c>
      <c r="H120" s="5">
        <v>49638.0</v>
      </c>
    </row>
    <row r="121">
      <c r="A121" s="3">
        <v>120.0</v>
      </c>
      <c r="B121" s="4">
        <f t="shared" si="1"/>
        <v>3280590.977</v>
      </c>
      <c r="C121" s="4">
        <v>3119321.0</v>
      </c>
      <c r="D121" s="4">
        <f t="shared" si="2"/>
        <v>762122.0463</v>
      </c>
      <c r="E121" s="4">
        <f t="shared" si="3"/>
        <v>2357198.954</v>
      </c>
      <c r="F121" s="4">
        <f t="shared" si="4"/>
        <v>161269.9771</v>
      </c>
      <c r="G121" s="4">
        <f t="shared" si="5"/>
        <v>200451341.2</v>
      </c>
      <c r="H121" s="5">
        <v>49668.0</v>
      </c>
    </row>
    <row r="122">
      <c r="A122" s="3">
        <v>121.0</v>
      </c>
      <c r="B122" s="4">
        <f t="shared" si="1"/>
        <v>3280220.873</v>
      </c>
      <c r="C122" s="4">
        <v>3119321.0</v>
      </c>
      <c r="D122" s="4">
        <f t="shared" si="2"/>
        <v>771050.2425</v>
      </c>
      <c r="E122" s="4">
        <f t="shared" si="3"/>
        <v>2348270.757</v>
      </c>
      <c r="F122" s="4">
        <f t="shared" si="4"/>
        <v>160899.873</v>
      </c>
      <c r="G122" s="4">
        <f t="shared" si="5"/>
        <v>199680290.9</v>
      </c>
      <c r="H122" s="5">
        <v>49699.0</v>
      </c>
    </row>
    <row r="123">
      <c r="A123" s="3">
        <v>122.0</v>
      </c>
      <c r="B123" s="4">
        <f t="shared" si="1"/>
        <v>3279846.433</v>
      </c>
      <c r="C123" s="4">
        <v>3119321.0</v>
      </c>
      <c r="D123" s="4">
        <f t="shared" si="2"/>
        <v>780083.0319</v>
      </c>
      <c r="E123" s="4">
        <f t="shared" si="3"/>
        <v>2339237.968</v>
      </c>
      <c r="F123" s="4">
        <f t="shared" si="4"/>
        <v>160525.4331</v>
      </c>
      <c r="G123" s="4">
        <f t="shared" si="5"/>
        <v>198900207.9</v>
      </c>
      <c r="H123" s="5">
        <v>49730.0</v>
      </c>
    </row>
    <row r="124">
      <c r="A124" s="3">
        <v>123.0</v>
      </c>
      <c r="B124" s="4">
        <f t="shared" si="1"/>
        <v>3279467.607</v>
      </c>
      <c r="C124" s="4">
        <v>3119321.0</v>
      </c>
      <c r="D124" s="4">
        <f t="shared" si="2"/>
        <v>789221.6396</v>
      </c>
      <c r="E124" s="4">
        <f t="shared" si="3"/>
        <v>2330099.36</v>
      </c>
      <c r="F124" s="4">
        <f t="shared" si="4"/>
        <v>160146.6067</v>
      </c>
      <c r="G124" s="4">
        <f t="shared" si="5"/>
        <v>198110986.2</v>
      </c>
      <c r="H124" s="5">
        <v>49759.0</v>
      </c>
    </row>
    <row r="125">
      <c r="A125" s="3">
        <v>124.0</v>
      </c>
      <c r="B125" s="4">
        <f t="shared" si="1"/>
        <v>3279084.342</v>
      </c>
      <c r="C125" s="4">
        <v>3119321.0</v>
      </c>
      <c r="D125" s="4">
        <f t="shared" si="2"/>
        <v>798467.3053</v>
      </c>
      <c r="E125" s="4">
        <f t="shared" si="3"/>
        <v>2320853.695</v>
      </c>
      <c r="F125" s="4">
        <f t="shared" si="4"/>
        <v>159763.3424</v>
      </c>
      <c r="G125" s="4">
        <f t="shared" si="5"/>
        <v>197312518.9</v>
      </c>
      <c r="H125" s="5">
        <v>49790.0</v>
      </c>
    </row>
    <row r="126">
      <c r="A126" s="3">
        <v>125.0</v>
      </c>
      <c r="B126" s="4">
        <f t="shared" si="1"/>
        <v>3278696.588</v>
      </c>
      <c r="C126" s="4">
        <v>3119321.0</v>
      </c>
      <c r="D126" s="4">
        <f t="shared" si="2"/>
        <v>807821.2833</v>
      </c>
      <c r="E126" s="4">
        <f t="shared" si="3"/>
        <v>2311499.717</v>
      </c>
      <c r="F126" s="4">
        <f t="shared" si="4"/>
        <v>159375.5882</v>
      </c>
      <c r="G126" s="4">
        <f t="shared" si="5"/>
        <v>196504697.7</v>
      </c>
      <c r="H126" s="5">
        <v>49820.0</v>
      </c>
    </row>
    <row r="127">
      <c r="A127" s="3">
        <v>126.0</v>
      </c>
      <c r="B127" s="4">
        <f t="shared" si="1"/>
        <v>3278304.291</v>
      </c>
      <c r="C127" s="4">
        <v>3119321.0</v>
      </c>
      <c r="D127" s="4">
        <f t="shared" si="2"/>
        <v>817284.8423</v>
      </c>
      <c r="E127" s="4">
        <f t="shared" si="3"/>
        <v>2302036.158</v>
      </c>
      <c r="F127" s="4">
        <f t="shared" si="4"/>
        <v>158983.2915</v>
      </c>
      <c r="G127" s="4">
        <f t="shared" si="5"/>
        <v>195687412.8</v>
      </c>
      <c r="H127" s="5">
        <v>49851.0</v>
      </c>
    </row>
    <row r="128">
      <c r="A128" s="3">
        <v>127.0</v>
      </c>
      <c r="B128" s="4">
        <f t="shared" si="1"/>
        <v>3277907.399</v>
      </c>
      <c r="C128" s="4">
        <v>3119321.0</v>
      </c>
      <c r="D128" s="4">
        <f t="shared" si="2"/>
        <v>826859.2661</v>
      </c>
      <c r="E128" s="4">
        <f t="shared" si="3"/>
        <v>2292461.734</v>
      </c>
      <c r="F128" s="4">
        <f t="shared" si="4"/>
        <v>158586.399</v>
      </c>
      <c r="G128" s="4">
        <f t="shared" si="5"/>
        <v>194860553.6</v>
      </c>
      <c r="H128" s="5">
        <v>49881.0</v>
      </c>
    </row>
    <row r="129">
      <c r="A129" s="3">
        <v>128.0</v>
      </c>
      <c r="B129" s="4">
        <f t="shared" si="1"/>
        <v>3277505.857</v>
      </c>
      <c r="C129" s="4">
        <v>3119321.0</v>
      </c>
      <c r="D129" s="4">
        <f t="shared" si="2"/>
        <v>836545.8535</v>
      </c>
      <c r="E129" s="4">
        <f t="shared" si="3"/>
        <v>2282775.146</v>
      </c>
      <c r="F129" s="4">
        <f t="shared" si="4"/>
        <v>158184.857</v>
      </c>
      <c r="G129" s="4">
        <f t="shared" si="5"/>
        <v>194024007.7</v>
      </c>
      <c r="H129" s="5">
        <v>49912.0</v>
      </c>
    </row>
    <row r="130">
      <c r="A130" s="3">
        <v>129.0</v>
      </c>
      <c r="B130" s="4">
        <f t="shared" si="1"/>
        <v>3277099.611</v>
      </c>
      <c r="C130" s="4">
        <v>3119321.0</v>
      </c>
      <c r="D130" s="4">
        <f t="shared" si="2"/>
        <v>846345.9185</v>
      </c>
      <c r="E130" s="4">
        <f t="shared" si="3"/>
        <v>2272975.082</v>
      </c>
      <c r="F130" s="4">
        <f t="shared" si="4"/>
        <v>157778.611</v>
      </c>
      <c r="G130" s="4">
        <f t="shared" si="5"/>
        <v>193177661.8</v>
      </c>
      <c r="H130" s="5">
        <v>49943.0</v>
      </c>
    </row>
    <row r="131">
      <c r="A131" s="3">
        <v>130.0</v>
      </c>
      <c r="B131" s="4">
        <f t="shared" si="1"/>
        <v>3276688.606</v>
      </c>
      <c r="C131" s="4">
        <v>3119321.0</v>
      </c>
      <c r="D131" s="4">
        <f t="shared" si="2"/>
        <v>856260.7904</v>
      </c>
      <c r="E131" s="4">
        <f t="shared" si="3"/>
        <v>2263060.21</v>
      </c>
      <c r="F131" s="4">
        <f t="shared" si="4"/>
        <v>157367.6058</v>
      </c>
      <c r="G131" s="4">
        <f t="shared" si="5"/>
        <v>192321401</v>
      </c>
      <c r="H131" s="5">
        <v>49973.0</v>
      </c>
    </row>
    <row r="132">
      <c r="A132" s="3">
        <v>131.0</v>
      </c>
      <c r="B132" s="4">
        <f t="shared" si="1"/>
        <v>3276272.786</v>
      </c>
      <c r="C132" s="4">
        <v>3119321.0</v>
      </c>
      <c r="D132" s="4">
        <f t="shared" si="2"/>
        <v>866291.8142</v>
      </c>
      <c r="E132" s="4">
        <f t="shared" si="3"/>
        <v>2253029.186</v>
      </c>
      <c r="F132" s="4">
        <f t="shared" si="4"/>
        <v>156951.7857</v>
      </c>
      <c r="G132" s="4">
        <f t="shared" si="5"/>
        <v>191455109.2</v>
      </c>
      <c r="H132" s="5">
        <v>50004.0</v>
      </c>
    </row>
    <row r="133">
      <c r="A133" s="3">
        <v>132.0</v>
      </c>
      <c r="B133" s="4">
        <f t="shared" si="1"/>
        <v>3275852.094</v>
      </c>
      <c r="C133" s="4">
        <v>3119321.0</v>
      </c>
      <c r="D133" s="4">
        <f t="shared" si="2"/>
        <v>876440.3506</v>
      </c>
      <c r="E133" s="4">
        <f t="shared" si="3"/>
        <v>2242880.649</v>
      </c>
      <c r="F133" s="4">
        <f t="shared" si="4"/>
        <v>156531.0944</v>
      </c>
      <c r="G133" s="4">
        <f t="shared" si="5"/>
        <v>190578668.8</v>
      </c>
      <c r="H133" s="5">
        <v>50034.0</v>
      </c>
    </row>
    <row r="134">
      <c r="A134" s="3">
        <v>133.0</v>
      </c>
      <c r="B134" s="4">
        <f t="shared" si="1"/>
        <v>3275426.475</v>
      </c>
      <c r="C134" s="4">
        <v>3119321.0</v>
      </c>
      <c r="D134" s="4">
        <f t="shared" si="2"/>
        <v>886707.7763</v>
      </c>
      <c r="E134" s="4">
        <f t="shared" si="3"/>
        <v>2232613.224</v>
      </c>
      <c r="F134" s="4">
        <f t="shared" si="4"/>
        <v>156105.4746</v>
      </c>
      <c r="G134" s="4">
        <f t="shared" si="5"/>
        <v>189691961</v>
      </c>
      <c r="H134" s="5">
        <v>50065.0</v>
      </c>
    </row>
    <row r="135">
      <c r="A135" s="3">
        <v>134.0</v>
      </c>
      <c r="B135" s="4">
        <f t="shared" si="1"/>
        <v>3274995.869</v>
      </c>
      <c r="C135" s="4">
        <v>3119321.0</v>
      </c>
      <c r="D135" s="4">
        <f t="shared" si="2"/>
        <v>897095.484</v>
      </c>
      <c r="E135" s="4">
        <f t="shared" si="3"/>
        <v>2222225.516</v>
      </c>
      <c r="F135" s="4">
        <f t="shared" si="4"/>
        <v>155674.8688</v>
      </c>
      <c r="G135" s="4">
        <f t="shared" si="5"/>
        <v>188794865.6</v>
      </c>
      <c r="H135" s="5">
        <v>50096.0</v>
      </c>
    </row>
    <row r="136">
      <c r="A136" s="3">
        <v>135.0</v>
      </c>
      <c r="B136" s="4">
        <f t="shared" si="1"/>
        <v>3274560.218</v>
      </c>
      <c r="C136" s="4">
        <v>3119321.0</v>
      </c>
      <c r="D136" s="4">
        <f t="shared" si="2"/>
        <v>907604.8828</v>
      </c>
      <c r="E136" s="4">
        <f t="shared" si="3"/>
        <v>2211716.117</v>
      </c>
      <c r="F136" s="4">
        <f t="shared" si="4"/>
        <v>155239.2185</v>
      </c>
      <c r="G136" s="4">
        <f t="shared" si="5"/>
        <v>187887260.7</v>
      </c>
      <c r="H136" s="5">
        <v>50124.0</v>
      </c>
    </row>
    <row r="137">
      <c r="A137" s="3">
        <v>136.0</v>
      </c>
      <c r="B137" s="4">
        <f t="shared" si="1"/>
        <v>3274119.465</v>
      </c>
      <c r="C137" s="4">
        <v>3119321.0</v>
      </c>
      <c r="D137" s="4">
        <f t="shared" si="2"/>
        <v>918237.3984</v>
      </c>
      <c r="E137" s="4">
        <f t="shared" si="3"/>
        <v>2201083.602</v>
      </c>
      <c r="F137" s="4">
        <f t="shared" si="4"/>
        <v>154798.4645</v>
      </c>
      <c r="G137" s="4">
        <f t="shared" si="5"/>
        <v>186969023.3</v>
      </c>
      <c r="H137" s="5">
        <v>50155.0</v>
      </c>
    </row>
    <row r="138">
      <c r="A138" s="3">
        <v>137.0</v>
      </c>
      <c r="B138" s="4">
        <f t="shared" si="1"/>
        <v>3273673.547</v>
      </c>
      <c r="C138" s="4">
        <v>3119321.0</v>
      </c>
      <c r="D138" s="4">
        <f t="shared" si="2"/>
        <v>928994.473</v>
      </c>
      <c r="E138" s="4">
        <f t="shared" si="3"/>
        <v>2190326.527</v>
      </c>
      <c r="F138" s="4">
        <f t="shared" si="4"/>
        <v>154352.5472</v>
      </c>
      <c r="G138" s="4">
        <f t="shared" si="5"/>
        <v>186040028.8</v>
      </c>
      <c r="H138" s="5">
        <v>50185.0</v>
      </c>
    </row>
    <row r="139">
      <c r="A139" s="3">
        <v>138.0</v>
      </c>
      <c r="B139" s="4">
        <f t="shared" si="1"/>
        <v>3273222.406</v>
      </c>
      <c r="C139" s="4">
        <v>3119321.0</v>
      </c>
      <c r="D139" s="4">
        <f t="shared" si="2"/>
        <v>939877.5658</v>
      </c>
      <c r="E139" s="4">
        <f t="shared" si="3"/>
        <v>2179443.434</v>
      </c>
      <c r="F139" s="4">
        <f t="shared" si="4"/>
        <v>153901.4059</v>
      </c>
      <c r="G139" s="4">
        <f t="shared" si="5"/>
        <v>185100151.2</v>
      </c>
      <c r="H139" s="5">
        <v>50216.0</v>
      </c>
    </row>
    <row r="140">
      <c r="A140" s="3">
        <v>139.0</v>
      </c>
      <c r="B140" s="4">
        <f t="shared" si="1"/>
        <v>3272765.98</v>
      </c>
      <c r="C140" s="4">
        <v>3119321.0</v>
      </c>
      <c r="D140" s="4">
        <f t="shared" si="2"/>
        <v>950888.1532</v>
      </c>
      <c r="E140" s="4">
        <f t="shared" si="3"/>
        <v>2168432.847</v>
      </c>
      <c r="F140" s="4">
        <f t="shared" si="4"/>
        <v>153444.9796</v>
      </c>
      <c r="G140" s="4">
        <f t="shared" si="5"/>
        <v>184149263.1</v>
      </c>
      <c r="H140" s="5">
        <v>50246.0</v>
      </c>
    </row>
    <row r="141">
      <c r="A141" s="3">
        <v>140.0</v>
      </c>
      <c r="B141" s="4">
        <f t="shared" si="1"/>
        <v>3272304.206</v>
      </c>
      <c r="C141" s="4">
        <v>3119321.0</v>
      </c>
      <c r="D141" s="4">
        <f t="shared" si="2"/>
        <v>962027.7287</v>
      </c>
      <c r="E141" s="4">
        <f t="shared" si="3"/>
        <v>2157293.271</v>
      </c>
      <c r="F141" s="4">
        <f t="shared" si="4"/>
        <v>152983.2063</v>
      </c>
      <c r="G141" s="4">
        <f t="shared" si="5"/>
        <v>183187235.4</v>
      </c>
      <c r="H141" s="5">
        <v>50277.0</v>
      </c>
    </row>
    <row r="142">
      <c r="A142" s="3">
        <v>141.0</v>
      </c>
      <c r="B142" s="4">
        <f t="shared" si="1"/>
        <v>3271837.023</v>
      </c>
      <c r="C142" s="4">
        <v>3119321.0</v>
      </c>
      <c r="D142" s="4">
        <f t="shared" si="2"/>
        <v>973297.8033</v>
      </c>
      <c r="E142" s="4">
        <f t="shared" si="3"/>
        <v>2146023.197</v>
      </c>
      <c r="F142" s="4">
        <f t="shared" si="4"/>
        <v>152516.0234</v>
      </c>
      <c r="G142" s="4">
        <f t="shared" si="5"/>
        <v>182213937.6</v>
      </c>
      <c r="H142" s="5">
        <v>50308.0</v>
      </c>
    </row>
    <row r="143">
      <c r="A143" s="3">
        <v>142.0</v>
      </c>
      <c r="B143" s="4">
        <f t="shared" si="1"/>
        <v>3271364.367</v>
      </c>
      <c r="C143" s="4">
        <v>3119321.0</v>
      </c>
      <c r="D143" s="4">
        <f t="shared" si="2"/>
        <v>984699.906</v>
      </c>
      <c r="E143" s="4">
        <f t="shared" si="3"/>
        <v>2134621.094</v>
      </c>
      <c r="F143" s="4">
        <f t="shared" si="4"/>
        <v>152043.3674</v>
      </c>
      <c r="G143" s="4">
        <f t="shared" si="5"/>
        <v>181229237.7</v>
      </c>
      <c r="H143" s="5">
        <v>50338.0</v>
      </c>
    </row>
    <row r="144">
      <c r="A144" s="3">
        <v>143.0</v>
      </c>
      <c r="B144" s="4">
        <f t="shared" si="1"/>
        <v>3270886.174</v>
      </c>
      <c r="C144" s="4">
        <v>3119321.0</v>
      </c>
      <c r="D144" s="4">
        <f t="shared" si="2"/>
        <v>996235.5833</v>
      </c>
      <c r="E144" s="4">
        <f t="shared" si="3"/>
        <v>2123085.417</v>
      </c>
      <c r="F144" s="4">
        <f t="shared" si="4"/>
        <v>151565.1743</v>
      </c>
      <c r="G144" s="4">
        <f t="shared" si="5"/>
        <v>180233002.1</v>
      </c>
      <c r="H144" s="5">
        <v>50369.0</v>
      </c>
    </row>
    <row r="145">
      <c r="A145" s="3">
        <v>144.0</v>
      </c>
      <c r="B145" s="4">
        <f t="shared" si="1"/>
        <v>3270402.379</v>
      </c>
      <c r="C145" s="4">
        <v>3119321.0</v>
      </c>
      <c r="D145" s="4">
        <f t="shared" si="2"/>
        <v>1007906.4</v>
      </c>
      <c r="E145" s="4">
        <f t="shared" si="3"/>
        <v>2111414.6</v>
      </c>
      <c r="F145" s="4">
        <f t="shared" si="4"/>
        <v>151081.3793</v>
      </c>
      <c r="G145" s="4">
        <f t="shared" si="5"/>
        <v>179225095.7</v>
      </c>
      <c r="H145" s="5">
        <v>50399.0</v>
      </c>
    </row>
    <row r="146">
      <c r="A146" s="3">
        <v>145.0</v>
      </c>
      <c r="B146" s="4">
        <f t="shared" si="1"/>
        <v>3269912.917</v>
      </c>
      <c r="C146" s="4">
        <v>3119321.0</v>
      </c>
      <c r="D146" s="4">
        <f t="shared" si="2"/>
        <v>1019713.94</v>
      </c>
      <c r="E146" s="4">
        <f t="shared" si="3"/>
        <v>2099607.06</v>
      </c>
      <c r="F146" s="4">
        <f t="shared" si="4"/>
        <v>150591.9166</v>
      </c>
      <c r="G146" s="4">
        <f t="shared" si="5"/>
        <v>178205381.7</v>
      </c>
      <c r="H146" s="5">
        <v>50430.0</v>
      </c>
    </row>
    <row r="147">
      <c r="A147" s="3">
        <v>146.0</v>
      </c>
      <c r="B147" s="4">
        <f t="shared" si="1"/>
        <v>3269417.72</v>
      </c>
      <c r="C147" s="4">
        <v>3119321.0</v>
      </c>
      <c r="D147" s="4">
        <f t="shared" si="2"/>
        <v>1031659.803</v>
      </c>
      <c r="E147" s="4">
        <f t="shared" si="3"/>
        <v>2087661.197</v>
      </c>
      <c r="F147" s="4">
        <f t="shared" si="4"/>
        <v>150096.7199</v>
      </c>
      <c r="G147" s="4">
        <f t="shared" si="5"/>
        <v>177173721.9</v>
      </c>
      <c r="H147" s="5">
        <v>50461.0</v>
      </c>
    </row>
    <row r="148">
      <c r="A148" s="3">
        <v>147.0</v>
      </c>
      <c r="B148" s="4">
        <f t="shared" si="1"/>
        <v>3268916.722</v>
      </c>
      <c r="C148" s="4">
        <v>3119321.0</v>
      </c>
      <c r="D148" s="4">
        <f t="shared" si="2"/>
        <v>1043745.612</v>
      </c>
      <c r="E148" s="4">
        <f t="shared" si="3"/>
        <v>2075575.388</v>
      </c>
      <c r="F148" s="4">
        <f t="shared" si="4"/>
        <v>149595.722</v>
      </c>
      <c r="G148" s="4">
        <f t="shared" si="5"/>
        <v>176129976.3</v>
      </c>
      <c r="H148" s="5">
        <v>50489.0</v>
      </c>
    </row>
    <row r="149">
      <c r="A149" s="3">
        <v>148.0</v>
      </c>
      <c r="B149" s="4">
        <f t="shared" si="1"/>
        <v>3268409.855</v>
      </c>
      <c r="C149" s="4">
        <v>3119321.0</v>
      </c>
      <c r="D149" s="4">
        <f t="shared" si="2"/>
        <v>1055973.005</v>
      </c>
      <c r="E149" s="4">
        <f t="shared" si="3"/>
        <v>2063347.995</v>
      </c>
      <c r="F149" s="4">
        <f t="shared" si="4"/>
        <v>149088.8549</v>
      </c>
      <c r="G149" s="4">
        <f t="shared" si="5"/>
        <v>175074003.3</v>
      </c>
      <c r="H149" s="5">
        <v>50520.0</v>
      </c>
    </row>
    <row r="150">
      <c r="A150" s="3">
        <v>149.0</v>
      </c>
      <c r="B150" s="4">
        <f t="shared" si="1"/>
        <v>3267897.05</v>
      </c>
      <c r="C150" s="4">
        <v>3119321.0</v>
      </c>
      <c r="D150" s="4">
        <f t="shared" si="2"/>
        <v>1068343.641</v>
      </c>
      <c r="E150" s="4">
        <f t="shared" si="3"/>
        <v>2050977.359</v>
      </c>
      <c r="F150" s="4">
        <f t="shared" si="4"/>
        <v>148576.05</v>
      </c>
      <c r="G150" s="4">
        <f t="shared" si="5"/>
        <v>174005659.7</v>
      </c>
      <c r="H150" s="5">
        <v>50550.0</v>
      </c>
    </row>
    <row r="151">
      <c r="A151" s="3">
        <v>150.0</v>
      </c>
      <c r="B151" s="4">
        <f t="shared" si="1"/>
        <v>3267378.238</v>
      </c>
      <c r="C151" s="4">
        <v>3119321.0</v>
      </c>
      <c r="D151" s="4">
        <f t="shared" si="2"/>
        <v>1080859.197</v>
      </c>
      <c r="E151" s="4">
        <f t="shared" si="3"/>
        <v>2038461.803</v>
      </c>
      <c r="F151" s="4">
        <f t="shared" si="4"/>
        <v>148057.2376</v>
      </c>
      <c r="G151" s="4">
        <f t="shared" si="5"/>
        <v>172924800.5</v>
      </c>
      <c r="H151" s="5">
        <v>50581.0</v>
      </c>
    </row>
    <row r="152">
      <c r="A152" s="3">
        <v>151.0</v>
      </c>
      <c r="B152" s="4">
        <f t="shared" si="1"/>
        <v>3266853.347</v>
      </c>
      <c r="C152" s="4">
        <v>3119321.0</v>
      </c>
      <c r="D152" s="4">
        <f t="shared" si="2"/>
        <v>1093521.373</v>
      </c>
      <c r="E152" s="4">
        <f t="shared" si="3"/>
        <v>2025799.627</v>
      </c>
      <c r="F152" s="4">
        <f t="shared" si="4"/>
        <v>147532.3473</v>
      </c>
      <c r="G152" s="4">
        <f t="shared" si="5"/>
        <v>171831279.1</v>
      </c>
      <c r="H152" s="5">
        <v>50611.0</v>
      </c>
    </row>
    <row r="153">
      <c r="A153" s="3">
        <v>152.0</v>
      </c>
      <c r="B153" s="4">
        <f t="shared" si="1"/>
        <v>3266322.308</v>
      </c>
      <c r="C153" s="4">
        <v>3119321.0</v>
      </c>
      <c r="D153" s="4">
        <f t="shared" si="2"/>
        <v>1106331.885</v>
      </c>
      <c r="E153" s="4">
        <f t="shared" si="3"/>
        <v>2012989.115</v>
      </c>
      <c r="F153" s="4">
        <f t="shared" si="4"/>
        <v>147001.308</v>
      </c>
      <c r="G153" s="4">
        <f t="shared" si="5"/>
        <v>170724947.2</v>
      </c>
      <c r="H153" s="5">
        <v>50642.0</v>
      </c>
    </row>
    <row r="154">
      <c r="A154" s="3">
        <v>153.0</v>
      </c>
      <c r="B154" s="4">
        <f t="shared" si="1"/>
        <v>3265785.048</v>
      </c>
      <c r="C154" s="4">
        <v>3119321.0</v>
      </c>
      <c r="D154" s="4">
        <f t="shared" si="2"/>
        <v>1119292.47</v>
      </c>
      <c r="E154" s="4">
        <f t="shared" si="3"/>
        <v>2000028.53</v>
      </c>
      <c r="F154" s="4">
        <f t="shared" si="4"/>
        <v>146464.0476</v>
      </c>
      <c r="G154" s="4">
        <f t="shared" si="5"/>
        <v>169605654.7</v>
      </c>
      <c r="H154" s="5">
        <v>50673.0</v>
      </c>
    </row>
    <row r="155">
      <c r="A155" s="3">
        <v>154.0</v>
      </c>
      <c r="B155" s="4">
        <f t="shared" si="1"/>
        <v>3265241.493</v>
      </c>
      <c r="C155" s="4">
        <v>3119321.0</v>
      </c>
      <c r="D155" s="4">
        <f t="shared" si="2"/>
        <v>1132404.888</v>
      </c>
      <c r="E155" s="4">
        <f t="shared" si="3"/>
        <v>1986916.112</v>
      </c>
      <c r="F155" s="4">
        <f t="shared" si="4"/>
        <v>145920.4933</v>
      </c>
      <c r="G155" s="4">
        <f t="shared" si="5"/>
        <v>168473249.9</v>
      </c>
      <c r="H155" s="5">
        <v>50703.0</v>
      </c>
    </row>
    <row r="156">
      <c r="A156" s="3">
        <v>155.0</v>
      </c>
      <c r="B156" s="4">
        <f t="shared" si="1"/>
        <v>3264691.571</v>
      </c>
      <c r="C156" s="4">
        <v>3119321.0</v>
      </c>
      <c r="D156" s="4">
        <f t="shared" si="2"/>
        <v>1145670.917</v>
      </c>
      <c r="E156" s="4">
        <f t="shared" si="3"/>
        <v>1973650.083</v>
      </c>
      <c r="F156" s="4">
        <f t="shared" si="4"/>
        <v>145370.5712</v>
      </c>
      <c r="G156" s="4">
        <f t="shared" si="5"/>
        <v>167327578.9</v>
      </c>
      <c r="H156" s="5">
        <v>50734.0</v>
      </c>
    </row>
    <row r="157">
      <c r="A157" s="3">
        <v>156.0</v>
      </c>
      <c r="B157" s="4">
        <f t="shared" si="1"/>
        <v>3264135.207</v>
      </c>
      <c r="C157" s="4">
        <v>3119321.0</v>
      </c>
      <c r="D157" s="4">
        <f t="shared" si="2"/>
        <v>1159092.357</v>
      </c>
      <c r="E157" s="4">
        <f t="shared" si="3"/>
        <v>1960228.643</v>
      </c>
      <c r="F157" s="4">
        <f t="shared" si="4"/>
        <v>144814.2069</v>
      </c>
      <c r="G157" s="4">
        <f t="shared" si="5"/>
        <v>166168486.6</v>
      </c>
      <c r="H157" s="5">
        <v>50764.0</v>
      </c>
    </row>
    <row r="158">
      <c r="A158" s="3">
        <v>157.0</v>
      </c>
      <c r="B158" s="4">
        <f t="shared" si="1"/>
        <v>3263572.325</v>
      </c>
      <c r="C158" s="4">
        <v>3119321.0</v>
      </c>
      <c r="D158" s="4">
        <f t="shared" si="2"/>
        <v>1172671.027</v>
      </c>
      <c r="E158" s="4">
        <f t="shared" si="3"/>
        <v>1946649.973</v>
      </c>
      <c r="F158" s="4">
        <f t="shared" si="4"/>
        <v>144251.3248</v>
      </c>
      <c r="G158" s="4">
        <f t="shared" si="5"/>
        <v>164995815.6</v>
      </c>
      <c r="H158" s="5">
        <v>50795.0</v>
      </c>
    </row>
    <row r="159">
      <c r="A159" s="3">
        <v>158.0</v>
      </c>
      <c r="B159" s="4">
        <f t="shared" si="1"/>
        <v>3263002.849</v>
      </c>
      <c r="C159" s="4">
        <v>3119321.0</v>
      </c>
      <c r="D159" s="4">
        <f t="shared" si="2"/>
        <v>1186408.77</v>
      </c>
      <c r="E159" s="4">
        <f t="shared" si="3"/>
        <v>1932912.23</v>
      </c>
      <c r="F159" s="4">
        <f t="shared" si="4"/>
        <v>143681.8486</v>
      </c>
      <c r="G159" s="4">
        <f t="shared" si="5"/>
        <v>163809406.8</v>
      </c>
      <c r="H159" s="5">
        <v>50826.0</v>
      </c>
    </row>
    <row r="160">
      <c r="A160" s="3">
        <v>159.0</v>
      </c>
      <c r="B160" s="4">
        <f t="shared" si="1"/>
        <v>3262426.701</v>
      </c>
      <c r="C160" s="4">
        <v>3119321.0</v>
      </c>
      <c r="D160" s="4">
        <f t="shared" si="2"/>
        <v>1200307.45</v>
      </c>
      <c r="E160" s="4">
        <f t="shared" si="3"/>
        <v>1919013.55</v>
      </c>
      <c r="F160" s="4">
        <f t="shared" si="4"/>
        <v>143105.701</v>
      </c>
      <c r="G160" s="4">
        <f t="shared" si="5"/>
        <v>162609099.3</v>
      </c>
      <c r="H160" s="5">
        <v>50854.0</v>
      </c>
    </row>
    <row r="161">
      <c r="A161" s="3">
        <v>160.0</v>
      </c>
      <c r="B161" s="4">
        <f t="shared" si="1"/>
        <v>3261843.804</v>
      </c>
      <c r="C161" s="4">
        <v>3119321.0</v>
      </c>
      <c r="D161" s="4">
        <f t="shared" si="2"/>
        <v>1214368.952</v>
      </c>
      <c r="E161" s="4">
        <f t="shared" si="3"/>
        <v>1904952.048</v>
      </c>
      <c r="F161" s="4">
        <f t="shared" si="4"/>
        <v>142522.8039</v>
      </c>
      <c r="G161" s="4">
        <f t="shared" si="5"/>
        <v>161394730.4</v>
      </c>
      <c r="H161" s="5">
        <v>50885.0</v>
      </c>
    </row>
    <row r="162">
      <c r="A162" s="3">
        <v>161.0</v>
      </c>
      <c r="B162" s="4">
        <f t="shared" si="1"/>
        <v>3261254.078</v>
      </c>
      <c r="C162" s="4">
        <v>3119321.0</v>
      </c>
      <c r="D162" s="4">
        <f t="shared" si="2"/>
        <v>1228595.183</v>
      </c>
      <c r="E162" s="4">
        <f t="shared" si="3"/>
        <v>1890725.817</v>
      </c>
      <c r="F162" s="4">
        <f t="shared" si="4"/>
        <v>141933.0782</v>
      </c>
      <c r="G162" s="4">
        <f t="shared" si="5"/>
        <v>160166135.2</v>
      </c>
      <c r="H162" s="5">
        <v>50915.0</v>
      </c>
    </row>
    <row r="163">
      <c r="A163" s="3">
        <v>162.0</v>
      </c>
      <c r="B163" s="4">
        <f t="shared" si="1"/>
        <v>3260657.444</v>
      </c>
      <c r="C163" s="4">
        <v>3119321.0</v>
      </c>
      <c r="D163" s="4">
        <f t="shared" si="2"/>
        <v>1242988.073</v>
      </c>
      <c r="E163" s="4">
        <f t="shared" si="3"/>
        <v>1876332.927</v>
      </c>
      <c r="F163" s="4">
        <f t="shared" si="4"/>
        <v>141336.444</v>
      </c>
      <c r="G163" s="4">
        <f t="shared" si="5"/>
        <v>158923147.1</v>
      </c>
      <c r="H163" s="5">
        <v>50946.0</v>
      </c>
    </row>
    <row r="164">
      <c r="A164" s="3">
        <v>163.0</v>
      </c>
      <c r="B164" s="4">
        <f t="shared" si="1"/>
        <v>3260053.82</v>
      </c>
      <c r="C164" s="4">
        <v>3119321.0</v>
      </c>
      <c r="D164" s="4">
        <f t="shared" si="2"/>
        <v>1257549.575</v>
      </c>
      <c r="E164" s="4">
        <f t="shared" si="3"/>
        <v>1861771.425</v>
      </c>
      <c r="F164" s="4">
        <f t="shared" si="4"/>
        <v>140732.8202</v>
      </c>
      <c r="G164" s="4">
        <f t="shared" si="5"/>
        <v>157665597.6</v>
      </c>
      <c r="H164" s="5">
        <v>50976.0</v>
      </c>
    </row>
    <row r="165">
      <c r="A165" s="3">
        <v>164.0</v>
      </c>
      <c r="B165" s="4">
        <f t="shared" si="1"/>
        <v>3259443.125</v>
      </c>
      <c r="C165" s="4">
        <v>3119321.0</v>
      </c>
      <c r="D165" s="4">
        <f t="shared" si="2"/>
        <v>1272281.664</v>
      </c>
      <c r="E165" s="4">
        <f t="shared" si="3"/>
        <v>1847039.336</v>
      </c>
      <c r="F165" s="4">
        <f t="shared" si="4"/>
        <v>140122.125</v>
      </c>
      <c r="G165" s="4">
        <f t="shared" si="5"/>
        <v>156393315.9</v>
      </c>
      <c r="H165" s="5">
        <v>51007.0</v>
      </c>
    </row>
    <row r="166">
      <c r="A166" s="3">
        <v>165.0</v>
      </c>
      <c r="B166" s="4">
        <f t="shared" si="1"/>
        <v>3258825.276</v>
      </c>
      <c r="C166" s="4">
        <v>3119321.0</v>
      </c>
      <c r="D166" s="4">
        <f t="shared" si="2"/>
        <v>1287186.337</v>
      </c>
      <c r="E166" s="4">
        <f t="shared" si="3"/>
        <v>1832134.663</v>
      </c>
      <c r="F166" s="4">
        <f t="shared" si="4"/>
        <v>139504.2755</v>
      </c>
      <c r="G166" s="4">
        <f t="shared" si="5"/>
        <v>155106129.5</v>
      </c>
      <c r="H166" s="5">
        <v>51038.0</v>
      </c>
    </row>
    <row r="167">
      <c r="A167" s="3">
        <v>166.0</v>
      </c>
      <c r="B167" s="4">
        <f t="shared" si="1"/>
        <v>3258200.188</v>
      </c>
      <c r="C167" s="4">
        <v>3119321.0</v>
      </c>
      <c r="D167" s="4">
        <f t="shared" si="2"/>
        <v>1302265.618</v>
      </c>
      <c r="E167" s="4">
        <f t="shared" si="3"/>
        <v>1817055.382</v>
      </c>
      <c r="F167" s="4">
        <f t="shared" si="4"/>
        <v>138879.188</v>
      </c>
      <c r="G167" s="4">
        <f t="shared" si="5"/>
        <v>153803863.9</v>
      </c>
      <c r="H167" s="5">
        <v>51068.0</v>
      </c>
    </row>
    <row r="168">
      <c r="A168" s="3">
        <v>167.0</v>
      </c>
      <c r="B168" s="4">
        <f t="shared" si="1"/>
        <v>3257567.778</v>
      </c>
      <c r="C168" s="4">
        <v>3119321.0</v>
      </c>
      <c r="D168" s="4">
        <f t="shared" si="2"/>
        <v>1317521.551</v>
      </c>
      <c r="E168" s="4">
        <f t="shared" si="3"/>
        <v>1801799.449</v>
      </c>
      <c r="F168" s="4">
        <f t="shared" si="4"/>
        <v>138246.7777</v>
      </c>
      <c r="G168" s="4">
        <f t="shared" si="5"/>
        <v>152486342.4</v>
      </c>
      <c r="H168" s="5">
        <v>51099.0</v>
      </c>
    </row>
    <row r="169">
      <c r="A169" s="3">
        <v>168.0</v>
      </c>
      <c r="B169" s="4">
        <f t="shared" si="1"/>
        <v>3256927.959</v>
      </c>
      <c r="C169" s="4">
        <v>3119321.0</v>
      </c>
      <c r="D169" s="4">
        <f t="shared" si="2"/>
        <v>1332956.206</v>
      </c>
      <c r="E169" s="4">
        <f t="shared" si="3"/>
        <v>1786364.794</v>
      </c>
      <c r="F169" s="4">
        <f t="shared" si="4"/>
        <v>137606.9587</v>
      </c>
      <c r="G169" s="4">
        <f t="shared" si="5"/>
        <v>151153386.2</v>
      </c>
      <c r="H169" s="5">
        <v>51129.0</v>
      </c>
    </row>
    <row r="170">
      <c r="A170" s="3">
        <v>169.0</v>
      </c>
      <c r="B170" s="4">
        <f t="shared" si="1"/>
        <v>3256280.644</v>
      </c>
      <c r="C170" s="4">
        <v>3119321.0</v>
      </c>
      <c r="D170" s="4">
        <f t="shared" si="2"/>
        <v>1348571.677</v>
      </c>
      <c r="E170" s="4">
        <f t="shared" si="3"/>
        <v>1770749.323</v>
      </c>
      <c r="F170" s="4">
        <f t="shared" si="4"/>
        <v>136959.6443</v>
      </c>
      <c r="G170" s="4">
        <f t="shared" si="5"/>
        <v>149804814.5</v>
      </c>
      <c r="H170" s="5">
        <v>51160.0</v>
      </c>
    </row>
    <row r="171">
      <c r="A171" s="3">
        <v>170.0</v>
      </c>
      <c r="B171" s="4">
        <f t="shared" si="1"/>
        <v>3255625.747</v>
      </c>
      <c r="C171" s="4">
        <v>3119321.0</v>
      </c>
      <c r="D171" s="4">
        <f t="shared" si="2"/>
        <v>1364370.082</v>
      </c>
      <c r="E171" s="4">
        <f t="shared" si="3"/>
        <v>1754950.918</v>
      </c>
      <c r="F171" s="4">
        <f t="shared" si="4"/>
        <v>136304.7467</v>
      </c>
      <c r="G171" s="4">
        <f t="shared" si="5"/>
        <v>148440444.4</v>
      </c>
      <c r="H171" s="5">
        <v>51191.0</v>
      </c>
    </row>
    <row r="172">
      <c r="A172" s="3">
        <v>171.0</v>
      </c>
      <c r="B172" s="4">
        <f t="shared" si="1"/>
        <v>3254963.177</v>
      </c>
      <c r="C172" s="4">
        <v>3119321.0</v>
      </c>
      <c r="D172" s="4">
        <f t="shared" si="2"/>
        <v>1380353.564</v>
      </c>
      <c r="E172" s="4">
        <f t="shared" si="3"/>
        <v>1738967.436</v>
      </c>
      <c r="F172" s="4">
        <f t="shared" si="4"/>
        <v>135642.1769</v>
      </c>
      <c r="G172" s="4">
        <f t="shared" si="5"/>
        <v>147060090.9</v>
      </c>
      <c r="H172" s="5">
        <v>51220.0</v>
      </c>
    </row>
    <row r="173">
      <c r="A173" s="3">
        <v>172.0</v>
      </c>
      <c r="B173" s="4">
        <f t="shared" si="1"/>
        <v>3254292.845</v>
      </c>
      <c r="C173" s="4">
        <v>3119321.0</v>
      </c>
      <c r="D173" s="4">
        <f t="shared" si="2"/>
        <v>1396524.291</v>
      </c>
      <c r="E173" s="4">
        <f t="shared" si="3"/>
        <v>1722796.709</v>
      </c>
      <c r="F173" s="4">
        <f t="shared" si="4"/>
        <v>134971.8453</v>
      </c>
      <c r="G173" s="4">
        <f t="shared" si="5"/>
        <v>145663566.6</v>
      </c>
      <c r="H173" s="5">
        <v>51251.0</v>
      </c>
    </row>
    <row r="174">
      <c r="A174" s="3">
        <v>173.0</v>
      </c>
      <c r="B174" s="4">
        <f t="shared" si="1"/>
        <v>3253614.661</v>
      </c>
      <c r="C174" s="4">
        <v>3119321.0</v>
      </c>
      <c r="D174" s="4">
        <f t="shared" si="2"/>
        <v>1412884.456</v>
      </c>
      <c r="E174" s="4">
        <f t="shared" si="3"/>
        <v>1706436.544</v>
      </c>
      <c r="F174" s="4">
        <f t="shared" si="4"/>
        <v>134293.6607</v>
      </c>
      <c r="G174" s="4">
        <f t="shared" si="5"/>
        <v>144250682.1</v>
      </c>
      <c r="H174" s="5">
        <v>51281.0</v>
      </c>
    </row>
    <row r="175">
      <c r="A175" s="3">
        <v>174.0</v>
      </c>
      <c r="B175" s="4">
        <f t="shared" si="1"/>
        <v>3252928.531</v>
      </c>
      <c r="C175" s="4">
        <v>3119321.0</v>
      </c>
      <c r="D175" s="4">
        <f t="shared" si="2"/>
        <v>1429436.28</v>
      </c>
      <c r="E175" s="4">
        <f t="shared" si="3"/>
        <v>1689884.72</v>
      </c>
      <c r="F175" s="4">
        <f t="shared" si="4"/>
        <v>133607.5313</v>
      </c>
      <c r="G175" s="4">
        <f t="shared" si="5"/>
        <v>142821245.8</v>
      </c>
      <c r="H175" s="5">
        <v>51312.0</v>
      </c>
    </row>
    <row r="176">
      <c r="A176" s="3">
        <v>175.0</v>
      </c>
      <c r="B176" s="4">
        <f t="shared" si="1"/>
        <v>3252234.364</v>
      </c>
      <c r="C176" s="4">
        <v>3119321.0</v>
      </c>
      <c r="D176" s="4">
        <f t="shared" si="2"/>
        <v>1446182.007</v>
      </c>
      <c r="E176" s="4">
        <f t="shared" si="3"/>
        <v>1673138.993</v>
      </c>
      <c r="F176" s="4">
        <f t="shared" si="4"/>
        <v>132913.364</v>
      </c>
      <c r="G176" s="4">
        <f t="shared" si="5"/>
        <v>141375063.8</v>
      </c>
      <c r="H176" s="5">
        <v>51342.0</v>
      </c>
    </row>
    <row r="177">
      <c r="A177" s="3">
        <v>176.0</v>
      </c>
      <c r="B177" s="4">
        <f t="shared" si="1"/>
        <v>3251532.064</v>
      </c>
      <c r="C177" s="4">
        <v>3119321.0</v>
      </c>
      <c r="D177" s="4">
        <f t="shared" si="2"/>
        <v>1463123.909</v>
      </c>
      <c r="E177" s="4">
        <f t="shared" si="3"/>
        <v>1656197.091</v>
      </c>
      <c r="F177" s="4">
        <f t="shared" si="4"/>
        <v>132211.0645</v>
      </c>
      <c r="G177" s="4">
        <f t="shared" si="5"/>
        <v>139911939.9</v>
      </c>
      <c r="H177" s="5">
        <v>51373.0</v>
      </c>
    </row>
    <row r="178">
      <c r="A178" s="3">
        <v>177.0</v>
      </c>
      <c r="B178" s="4">
        <f t="shared" si="1"/>
        <v>3250821.538</v>
      </c>
      <c r="C178" s="4">
        <v>3119321.0</v>
      </c>
      <c r="D178" s="4">
        <f t="shared" si="2"/>
        <v>1480264.283</v>
      </c>
      <c r="E178" s="4">
        <f t="shared" si="3"/>
        <v>1639056.717</v>
      </c>
      <c r="F178" s="4">
        <f t="shared" si="4"/>
        <v>131500.5376</v>
      </c>
      <c r="G178" s="4">
        <f t="shared" si="5"/>
        <v>138431675.6</v>
      </c>
      <c r="H178" s="5">
        <v>51404.0</v>
      </c>
    </row>
    <row r="179">
      <c r="A179" s="3">
        <v>178.0</v>
      </c>
      <c r="B179" s="4">
        <f t="shared" si="1"/>
        <v>3250102.687</v>
      </c>
      <c r="C179" s="4">
        <v>3119321.0</v>
      </c>
      <c r="D179" s="4">
        <f t="shared" si="2"/>
        <v>1497605.456</v>
      </c>
      <c r="E179" s="4">
        <f t="shared" si="3"/>
        <v>1621715.544</v>
      </c>
      <c r="F179" s="4">
        <f t="shared" si="4"/>
        <v>130781.687</v>
      </c>
      <c r="G179" s="4">
        <f t="shared" si="5"/>
        <v>136934070.2</v>
      </c>
      <c r="H179" s="5">
        <v>51434.0</v>
      </c>
    </row>
    <row r="180">
      <c r="A180" s="3">
        <v>179.0</v>
      </c>
      <c r="B180" s="4">
        <f t="shared" si="1"/>
        <v>3249375.415</v>
      </c>
      <c r="C180" s="4">
        <v>3119321.0</v>
      </c>
      <c r="D180" s="4">
        <f t="shared" si="2"/>
        <v>1515149.779</v>
      </c>
      <c r="E180" s="4">
        <f t="shared" si="3"/>
        <v>1604171.221</v>
      </c>
      <c r="F180" s="4">
        <f t="shared" si="4"/>
        <v>130054.4151</v>
      </c>
      <c r="G180" s="4">
        <f t="shared" si="5"/>
        <v>135418920.4</v>
      </c>
      <c r="H180" s="5">
        <v>51465.0</v>
      </c>
    </row>
    <row r="181">
      <c r="A181" s="3">
        <v>180.0</v>
      </c>
      <c r="B181" s="4">
        <f t="shared" si="1"/>
        <v>3248639.623</v>
      </c>
      <c r="C181" s="4">
        <v>3119321.0</v>
      </c>
      <c r="D181" s="4">
        <f t="shared" si="2"/>
        <v>1532899.633</v>
      </c>
      <c r="E181" s="4">
        <f t="shared" si="3"/>
        <v>1586421.367</v>
      </c>
      <c r="F181" s="4">
        <f t="shared" si="4"/>
        <v>129318.6233</v>
      </c>
      <c r="G181" s="4">
        <f t="shared" si="5"/>
        <v>133886020.8</v>
      </c>
      <c r="H181" s="5">
        <v>51495.0</v>
      </c>
    </row>
    <row r="182">
      <c r="A182" s="3">
        <v>181.0</v>
      </c>
      <c r="B182" s="4">
        <f t="shared" si="1"/>
        <v>3247895.212</v>
      </c>
      <c r="C182" s="4">
        <v>3119321.0</v>
      </c>
      <c r="D182" s="4">
        <f t="shared" si="2"/>
        <v>1550857.424</v>
      </c>
      <c r="E182" s="4">
        <f t="shared" si="3"/>
        <v>1568463.576</v>
      </c>
      <c r="F182" s="4">
        <f t="shared" si="4"/>
        <v>128574.2117</v>
      </c>
      <c r="G182" s="4">
        <f t="shared" si="5"/>
        <v>132335163.3</v>
      </c>
      <c r="H182" s="5">
        <v>51526.0</v>
      </c>
    </row>
    <row r="183">
      <c r="A183" s="3">
        <v>182.0</v>
      </c>
      <c r="B183" s="4">
        <f t="shared" si="1"/>
        <v>3247142.079</v>
      </c>
      <c r="C183" s="4">
        <v>3119321.0</v>
      </c>
      <c r="D183" s="4">
        <f t="shared" si="2"/>
        <v>1569025.589</v>
      </c>
      <c r="E183" s="4">
        <f t="shared" si="3"/>
        <v>1550295.411</v>
      </c>
      <c r="F183" s="4">
        <f t="shared" si="4"/>
        <v>127821.0795</v>
      </c>
      <c r="G183" s="4">
        <f t="shared" si="5"/>
        <v>130766137.7</v>
      </c>
      <c r="H183" s="5">
        <v>51557.0</v>
      </c>
    </row>
    <row r="184">
      <c r="A184" s="3">
        <v>183.0</v>
      </c>
      <c r="B184" s="4">
        <f t="shared" si="1"/>
        <v>3246380.124</v>
      </c>
      <c r="C184" s="4">
        <v>3119321.0</v>
      </c>
      <c r="D184" s="4">
        <f t="shared" si="2"/>
        <v>1587406.594</v>
      </c>
      <c r="E184" s="4">
        <f t="shared" si="3"/>
        <v>1531914.406</v>
      </c>
      <c r="F184" s="4">
        <f t="shared" si="4"/>
        <v>127059.1243</v>
      </c>
      <c r="G184" s="4">
        <f t="shared" si="5"/>
        <v>129178731.2</v>
      </c>
      <c r="H184" s="5">
        <v>51585.0</v>
      </c>
    </row>
    <row r="185">
      <c r="A185" s="3">
        <v>184.0</v>
      </c>
      <c r="B185" s="4">
        <f t="shared" si="1"/>
        <v>3245609.243</v>
      </c>
      <c r="C185" s="4">
        <v>3119321.0</v>
      </c>
      <c r="D185" s="4">
        <f t="shared" si="2"/>
        <v>1606002.929</v>
      </c>
      <c r="E185" s="4">
        <f t="shared" si="3"/>
        <v>1513318.071</v>
      </c>
      <c r="F185" s="4">
        <f t="shared" si="4"/>
        <v>126288.2429</v>
      </c>
      <c r="G185" s="4">
        <f t="shared" si="5"/>
        <v>127572728.2</v>
      </c>
      <c r="H185" s="5">
        <v>51616.0</v>
      </c>
    </row>
    <row r="186">
      <c r="A186" s="3">
        <v>185.0</v>
      </c>
      <c r="B186" s="4">
        <f t="shared" si="1"/>
        <v>3244829.331</v>
      </c>
      <c r="C186" s="4">
        <v>3119321.0</v>
      </c>
      <c r="D186" s="4">
        <f t="shared" si="2"/>
        <v>1624817.12</v>
      </c>
      <c r="E186" s="4">
        <f t="shared" si="3"/>
        <v>1494503.88</v>
      </c>
      <c r="F186" s="4">
        <f t="shared" si="4"/>
        <v>125508.3307</v>
      </c>
      <c r="G186" s="4">
        <f t="shared" si="5"/>
        <v>125947911.1</v>
      </c>
      <c r="H186" s="5">
        <v>51646.0</v>
      </c>
    </row>
    <row r="187">
      <c r="A187" s="3">
        <v>186.0</v>
      </c>
      <c r="B187" s="4">
        <f t="shared" si="1"/>
        <v>3244040.282</v>
      </c>
      <c r="C187" s="4">
        <v>3119321.0</v>
      </c>
      <c r="D187" s="4">
        <f t="shared" si="2"/>
        <v>1643851.717</v>
      </c>
      <c r="E187" s="4">
        <f t="shared" si="3"/>
        <v>1475469.283</v>
      </c>
      <c r="F187" s="4">
        <f t="shared" si="4"/>
        <v>124719.2818</v>
      </c>
      <c r="G187" s="4">
        <f t="shared" si="5"/>
        <v>124304059.4</v>
      </c>
      <c r="H187" s="5">
        <v>51677.0</v>
      </c>
    </row>
    <row r="188">
      <c r="A188" s="3">
        <v>187.0</v>
      </c>
      <c r="B188" s="4">
        <f t="shared" si="1"/>
        <v>3243241.989</v>
      </c>
      <c r="C188" s="4">
        <v>3119321.0</v>
      </c>
      <c r="D188" s="4">
        <f t="shared" si="2"/>
        <v>1663109.303</v>
      </c>
      <c r="E188" s="4">
        <f t="shared" si="3"/>
        <v>1456211.697</v>
      </c>
      <c r="F188" s="4">
        <f t="shared" si="4"/>
        <v>123920.9894</v>
      </c>
      <c r="G188" s="4">
        <f t="shared" si="5"/>
        <v>122640950.1</v>
      </c>
      <c r="H188" s="5">
        <v>51707.0</v>
      </c>
    </row>
    <row r="189">
      <c r="A189" s="3">
        <v>188.0</v>
      </c>
      <c r="B189" s="4">
        <f t="shared" si="1"/>
        <v>3242434.345</v>
      </c>
      <c r="C189" s="4">
        <v>3119321.0</v>
      </c>
      <c r="D189" s="4">
        <f t="shared" si="2"/>
        <v>1682592.49</v>
      </c>
      <c r="E189" s="4">
        <f t="shared" si="3"/>
        <v>1436728.51</v>
      </c>
      <c r="F189" s="4">
        <f t="shared" si="4"/>
        <v>123113.345</v>
      </c>
      <c r="G189" s="4">
        <f t="shared" si="5"/>
        <v>120958357.6</v>
      </c>
      <c r="H189" s="5">
        <v>51738.0</v>
      </c>
    </row>
    <row r="190">
      <c r="A190" s="3">
        <v>189.0</v>
      </c>
      <c r="B190" s="4">
        <f t="shared" si="1"/>
        <v>3241617.239</v>
      </c>
      <c r="C190" s="4">
        <v>3119321.0</v>
      </c>
      <c r="D190" s="4">
        <f t="shared" si="2"/>
        <v>1702303.921</v>
      </c>
      <c r="E190" s="4">
        <f t="shared" si="3"/>
        <v>1417017.079</v>
      </c>
      <c r="F190" s="4">
        <f t="shared" si="4"/>
        <v>122296.2391</v>
      </c>
      <c r="G190" s="4">
        <f t="shared" si="5"/>
        <v>119256053.7</v>
      </c>
      <c r="H190" s="5">
        <v>51769.0</v>
      </c>
    </row>
    <row r="191">
      <c r="A191" s="3">
        <v>190.0</v>
      </c>
      <c r="B191" s="4">
        <f t="shared" si="1"/>
        <v>3240790.561</v>
      </c>
      <c r="C191" s="4">
        <v>3119321.0</v>
      </c>
      <c r="D191" s="4">
        <f t="shared" si="2"/>
        <v>1722246.269</v>
      </c>
      <c r="E191" s="4">
        <f t="shared" si="3"/>
        <v>1397074.731</v>
      </c>
      <c r="F191" s="4">
        <f t="shared" si="4"/>
        <v>121469.5609</v>
      </c>
      <c r="G191" s="4">
        <f t="shared" si="5"/>
        <v>117533807.4</v>
      </c>
      <c r="H191" s="5">
        <v>51799.0</v>
      </c>
    </row>
    <row r="192">
      <c r="A192" s="3">
        <v>191.0</v>
      </c>
      <c r="B192" s="4">
        <f t="shared" si="1"/>
        <v>3239954.198</v>
      </c>
      <c r="C192" s="4">
        <v>3119321.0</v>
      </c>
      <c r="D192" s="4">
        <f t="shared" si="2"/>
        <v>1742422.241</v>
      </c>
      <c r="E192" s="4">
        <f t="shared" si="3"/>
        <v>1376898.759</v>
      </c>
      <c r="F192" s="4">
        <f t="shared" si="4"/>
        <v>120633.1982</v>
      </c>
      <c r="G192" s="4">
        <f t="shared" si="5"/>
        <v>115791385.2</v>
      </c>
      <c r="H192" s="5">
        <v>51830.0</v>
      </c>
    </row>
    <row r="193">
      <c r="A193" s="3">
        <v>192.0</v>
      </c>
      <c r="B193" s="4">
        <f t="shared" si="1"/>
        <v>3239108.038</v>
      </c>
      <c r="C193" s="4">
        <v>3119321.0</v>
      </c>
      <c r="D193" s="4">
        <f t="shared" si="2"/>
        <v>1762834.572</v>
      </c>
      <c r="E193" s="4">
        <f t="shared" si="3"/>
        <v>1356486.428</v>
      </c>
      <c r="F193" s="4">
        <f t="shared" si="4"/>
        <v>119787.0376</v>
      </c>
      <c r="G193" s="4">
        <f t="shared" si="5"/>
        <v>114028550.6</v>
      </c>
      <c r="H193" s="5">
        <v>51860.0</v>
      </c>
    </row>
    <row r="194">
      <c r="A194" s="3">
        <v>193.0</v>
      </c>
      <c r="B194" s="4">
        <f t="shared" si="1"/>
        <v>3238251.964</v>
      </c>
      <c r="C194" s="4">
        <v>3119321.0</v>
      </c>
      <c r="D194" s="4">
        <f t="shared" si="2"/>
        <v>1783486.032</v>
      </c>
      <c r="E194" s="4">
        <f t="shared" si="3"/>
        <v>1335834.968</v>
      </c>
      <c r="F194" s="4">
        <f t="shared" si="4"/>
        <v>118930.9643</v>
      </c>
      <c r="G194" s="4">
        <f t="shared" si="5"/>
        <v>112245064.6</v>
      </c>
      <c r="H194" s="5">
        <v>51891.0</v>
      </c>
    </row>
    <row r="195">
      <c r="A195" s="3">
        <v>194.0</v>
      </c>
      <c r="B195" s="4">
        <f t="shared" si="1"/>
        <v>3237385.862</v>
      </c>
      <c r="C195" s="4">
        <v>3119321.0</v>
      </c>
      <c r="D195" s="4">
        <f t="shared" si="2"/>
        <v>1804379.422</v>
      </c>
      <c r="E195" s="4">
        <f t="shared" si="3"/>
        <v>1314941.578</v>
      </c>
      <c r="F195" s="4">
        <f t="shared" si="4"/>
        <v>118064.8622</v>
      </c>
      <c r="G195" s="4">
        <f t="shared" si="5"/>
        <v>110440685.1</v>
      </c>
      <c r="H195" s="5">
        <v>51922.0</v>
      </c>
    </row>
    <row r="196">
      <c r="A196" s="3">
        <v>195.0</v>
      </c>
      <c r="B196" s="4">
        <f t="shared" si="1"/>
        <v>3236509.614</v>
      </c>
      <c r="C196" s="4">
        <v>3119321.0</v>
      </c>
      <c r="D196" s="4">
        <f t="shared" si="2"/>
        <v>1825517.577</v>
      </c>
      <c r="E196" s="4">
        <f t="shared" si="3"/>
        <v>1293803.423</v>
      </c>
      <c r="F196" s="4">
        <f t="shared" si="4"/>
        <v>117188.6138</v>
      </c>
      <c r="G196" s="4">
        <f t="shared" si="5"/>
        <v>108615167.6</v>
      </c>
      <c r="H196" s="5">
        <v>51950.0</v>
      </c>
    </row>
    <row r="197">
      <c r="A197" s="3">
        <v>196.0</v>
      </c>
      <c r="B197" s="4">
        <f t="shared" si="1"/>
        <v>3235623.1</v>
      </c>
      <c r="C197" s="4">
        <v>3119321.0</v>
      </c>
      <c r="D197" s="4">
        <f t="shared" si="2"/>
        <v>1846903.363</v>
      </c>
      <c r="E197" s="4">
        <f t="shared" si="3"/>
        <v>1272417.637</v>
      </c>
      <c r="F197" s="4">
        <f t="shared" si="4"/>
        <v>116302.1001</v>
      </c>
      <c r="G197" s="4">
        <f t="shared" si="5"/>
        <v>106768264.2</v>
      </c>
      <c r="H197" s="5">
        <v>51981.0</v>
      </c>
    </row>
    <row r="198">
      <c r="A198" s="3">
        <v>197.0</v>
      </c>
      <c r="B198" s="4">
        <f t="shared" si="1"/>
        <v>3234726.201</v>
      </c>
      <c r="C198" s="4">
        <v>3119321.0</v>
      </c>
      <c r="D198" s="4">
        <f t="shared" si="2"/>
        <v>1868539.682</v>
      </c>
      <c r="E198" s="4">
        <f t="shared" si="3"/>
        <v>1250781.318</v>
      </c>
      <c r="F198" s="4">
        <f t="shared" si="4"/>
        <v>115405.2011</v>
      </c>
      <c r="G198" s="4">
        <f t="shared" si="5"/>
        <v>104899724.5</v>
      </c>
      <c r="H198" s="5">
        <v>52011.0</v>
      </c>
    </row>
    <row r="199">
      <c r="A199" s="3">
        <v>198.0</v>
      </c>
      <c r="B199" s="4">
        <f t="shared" si="1"/>
        <v>3233818.795</v>
      </c>
      <c r="C199" s="4">
        <v>3119321.0</v>
      </c>
      <c r="D199" s="4">
        <f t="shared" si="2"/>
        <v>1890429.469</v>
      </c>
      <c r="E199" s="4">
        <f t="shared" si="3"/>
        <v>1228891.531</v>
      </c>
      <c r="F199" s="4">
        <f t="shared" si="4"/>
        <v>114497.795</v>
      </c>
      <c r="G199" s="4">
        <f t="shared" si="5"/>
        <v>103009295</v>
      </c>
      <c r="H199" s="5">
        <v>52042.0</v>
      </c>
    </row>
    <row r="200">
      <c r="A200" s="3">
        <v>199.0</v>
      </c>
      <c r="B200" s="4">
        <f t="shared" si="1"/>
        <v>3232900.759</v>
      </c>
      <c r="C200" s="4">
        <v>3119321.0</v>
      </c>
      <c r="D200" s="4">
        <f t="shared" si="2"/>
        <v>1912575.693</v>
      </c>
      <c r="E200" s="4">
        <f t="shared" si="3"/>
        <v>1206745.307</v>
      </c>
      <c r="F200" s="4">
        <f t="shared" si="4"/>
        <v>113579.7586</v>
      </c>
      <c r="G200" s="4">
        <f t="shared" si="5"/>
        <v>101096719.3</v>
      </c>
      <c r="H200" s="5">
        <v>52072.0</v>
      </c>
    </row>
    <row r="201">
      <c r="A201" s="3">
        <v>200.0</v>
      </c>
      <c r="B201" s="4">
        <f t="shared" si="1"/>
        <v>3231971.968</v>
      </c>
      <c r="C201" s="4">
        <v>3119321.0</v>
      </c>
      <c r="D201" s="4">
        <f t="shared" si="2"/>
        <v>1934981.358</v>
      </c>
      <c r="E201" s="4">
        <f t="shared" si="3"/>
        <v>1184339.642</v>
      </c>
      <c r="F201" s="4">
        <f t="shared" si="4"/>
        <v>112650.9676</v>
      </c>
      <c r="G201" s="4">
        <f t="shared" si="5"/>
        <v>99161737.99</v>
      </c>
      <c r="H201" s="5">
        <v>52103.0</v>
      </c>
    </row>
    <row r="202">
      <c r="A202" s="3">
        <v>201.0</v>
      </c>
      <c r="B202" s="4">
        <f t="shared" si="1"/>
        <v>3231032.296</v>
      </c>
      <c r="C202" s="4">
        <v>3119321.0</v>
      </c>
      <c r="D202" s="4">
        <f t="shared" si="2"/>
        <v>1957649.503</v>
      </c>
      <c r="E202" s="4">
        <f t="shared" si="3"/>
        <v>1161671.497</v>
      </c>
      <c r="F202" s="4">
        <f t="shared" si="4"/>
        <v>111711.2958</v>
      </c>
      <c r="G202" s="4">
        <f t="shared" si="5"/>
        <v>97204088.49</v>
      </c>
      <c r="H202" s="5">
        <v>52134.0</v>
      </c>
    </row>
    <row r="203">
      <c r="A203" s="3">
        <v>202.0</v>
      </c>
      <c r="B203" s="4">
        <f t="shared" si="1"/>
        <v>3230081.616</v>
      </c>
      <c r="C203" s="4">
        <v>3119321.0</v>
      </c>
      <c r="D203" s="4">
        <f t="shared" si="2"/>
        <v>1980583.204</v>
      </c>
      <c r="E203" s="4">
        <f t="shared" si="3"/>
        <v>1138737.796</v>
      </c>
      <c r="F203" s="4">
        <f t="shared" si="4"/>
        <v>110760.6159</v>
      </c>
      <c r="G203" s="4">
        <f t="shared" si="5"/>
        <v>95223505.29</v>
      </c>
      <c r="H203" s="5">
        <v>52164.0</v>
      </c>
    </row>
    <row r="204">
      <c r="A204" s="3">
        <v>203.0</v>
      </c>
      <c r="B204" s="4">
        <f t="shared" si="1"/>
        <v>3229119.799</v>
      </c>
      <c r="C204" s="4">
        <v>3119321.0</v>
      </c>
      <c r="D204" s="4">
        <f t="shared" si="2"/>
        <v>2003785.571</v>
      </c>
      <c r="E204" s="4">
        <f t="shared" si="3"/>
        <v>1115535.429</v>
      </c>
      <c r="F204" s="4">
        <f t="shared" si="4"/>
        <v>109798.7988</v>
      </c>
      <c r="G204" s="4">
        <f t="shared" si="5"/>
        <v>93219719.71</v>
      </c>
      <c r="H204" s="5">
        <v>52195.0</v>
      </c>
    </row>
    <row r="205">
      <c r="A205" s="3">
        <v>204.0</v>
      </c>
      <c r="B205" s="4">
        <f t="shared" si="1"/>
        <v>3228146.714</v>
      </c>
      <c r="C205" s="4">
        <v>3119321.0</v>
      </c>
      <c r="D205" s="4">
        <f t="shared" si="2"/>
        <v>2027259.752</v>
      </c>
      <c r="E205" s="4">
        <f t="shared" si="3"/>
        <v>1092061.248</v>
      </c>
      <c r="F205" s="4">
        <f t="shared" si="4"/>
        <v>108825.7141</v>
      </c>
      <c r="G205" s="4">
        <f t="shared" si="5"/>
        <v>91192459.96</v>
      </c>
      <c r="H205" s="5">
        <v>52225.0</v>
      </c>
    </row>
    <row r="206">
      <c r="A206" s="3">
        <v>205.0</v>
      </c>
      <c r="B206" s="4">
        <f t="shared" si="1"/>
        <v>3227162.23</v>
      </c>
      <c r="C206" s="4">
        <v>3119321.0</v>
      </c>
      <c r="D206" s="4">
        <f t="shared" si="2"/>
        <v>2051008.931</v>
      </c>
      <c r="E206" s="4">
        <f t="shared" si="3"/>
        <v>1068312.069</v>
      </c>
      <c r="F206" s="4">
        <f t="shared" si="4"/>
        <v>107841.2298</v>
      </c>
      <c r="G206" s="4">
        <f t="shared" si="5"/>
        <v>89141451.03</v>
      </c>
      <c r="H206" s="5">
        <v>52256.0</v>
      </c>
    </row>
    <row r="207">
      <c r="A207" s="3">
        <v>206.0</v>
      </c>
      <c r="B207" s="4">
        <f t="shared" si="1"/>
        <v>3226166.212</v>
      </c>
      <c r="C207" s="4">
        <v>3119321.0</v>
      </c>
      <c r="D207" s="4">
        <f t="shared" si="2"/>
        <v>2075036.33</v>
      </c>
      <c r="E207" s="4">
        <f t="shared" si="3"/>
        <v>1044284.67</v>
      </c>
      <c r="F207" s="4">
        <f t="shared" si="4"/>
        <v>106845.2124</v>
      </c>
      <c r="G207" s="4">
        <f t="shared" si="5"/>
        <v>87066414.7</v>
      </c>
      <c r="H207" s="5">
        <v>52287.0</v>
      </c>
    </row>
    <row r="208">
      <c r="A208" s="3">
        <v>207.0</v>
      </c>
      <c r="B208" s="4">
        <f t="shared" si="1"/>
        <v>3225158.527</v>
      </c>
      <c r="C208" s="4">
        <v>3119321.0</v>
      </c>
      <c r="D208" s="4">
        <f t="shared" si="2"/>
        <v>2099345.207</v>
      </c>
      <c r="E208" s="4">
        <f t="shared" si="3"/>
        <v>1019975.793</v>
      </c>
      <c r="F208" s="4">
        <f t="shared" si="4"/>
        <v>105837.5267</v>
      </c>
      <c r="G208" s="4">
        <f t="shared" si="5"/>
        <v>84967069.5</v>
      </c>
      <c r="H208" s="5">
        <v>52315.0</v>
      </c>
    </row>
    <row r="209">
      <c r="A209" s="3">
        <v>208.0</v>
      </c>
      <c r="B209" s="4">
        <f t="shared" si="1"/>
        <v>3224139.036</v>
      </c>
      <c r="C209" s="4">
        <v>3119321.0</v>
      </c>
      <c r="D209" s="4">
        <f t="shared" si="2"/>
        <v>2123938.861</v>
      </c>
      <c r="E209" s="4">
        <f t="shared" si="3"/>
        <v>995382.1385</v>
      </c>
      <c r="F209" s="4">
        <f t="shared" si="4"/>
        <v>104818.036</v>
      </c>
      <c r="G209" s="4">
        <f t="shared" si="5"/>
        <v>82843130.63</v>
      </c>
      <c r="H209" s="5">
        <v>52346.0</v>
      </c>
    </row>
    <row r="210">
      <c r="A210" s="3">
        <v>209.0</v>
      </c>
      <c r="B210" s="4">
        <f t="shared" si="1"/>
        <v>3223107.602</v>
      </c>
      <c r="C210" s="4">
        <v>3119321.0</v>
      </c>
      <c r="D210" s="4">
        <f t="shared" si="2"/>
        <v>2148820.628</v>
      </c>
      <c r="E210" s="4">
        <f t="shared" si="3"/>
        <v>970500.3718</v>
      </c>
      <c r="F210" s="4">
        <f t="shared" si="4"/>
        <v>103786.6021</v>
      </c>
      <c r="G210" s="4">
        <f t="shared" si="5"/>
        <v>80694310.01</v>
      </c>
      <c r="H210" s="5">
        <v>52376.0</v>
      </c>
    </row>
    <row r="211">
      <c r="A211" s="3">
        <v>210.0</v>
      </c>
      <c r="B211" s="4">
        <f t="shared" si="1"/>
        <v>3222064.085</v>
      </c>
      <c r="C211" s="4">
        <v>3119321.0</v>
      </c>
      <c r="D211" s="4">
        <f t="shared" si="2"/>
        <v>2173993.883</v>
      </c>
      <c r="E211" s="4">
        <f t="shared" si="3"/>
        <v>945327.1172</v>
      </c>
      <c r="F211" s="4">
        <f t="shared" si="4"/>
        <v>102743.0851</v>
      </c>
      <c r="G211" s="4">
        <f t="shared" si="5"/>
        <v>78520316.12</v>
      </c>
      <c r="H211" s="5">
        <v>52407.0</v>
      </c>
    </row>
    <row r="212">
      <c r="A212" s="3">
        <v>211.0</v>
      </c>
      <c r="B212" s="4">
        <f t="shared" si="1"/>
        <v>3221008.343</v>
      </c>
      <c r="C212" s="4">
        <v>3119321.0</v>
      </c>
      <c r="D212" s="4">
        <f t="shared" si="2"/>
        <v>2199462.04</v>
      </c>
      <c r="E212" s="4">
        <f t="shared" si="3"/>
        <v>919858.96</v>
      </c>
      <c r="F212" s="4">
        <f t="shared" si="4"/>
        <v>101687.3433</v>
      </c>
      <c r="G212" s="4">
        <f t="shared" si="5"/>
        <v>76320854.08</v>
      </c>
      <c r="H212" s="5">
        <v>52437.0</v>
      </c>
    </row>
    <row r="213">
      <c r="A213" s="3">
        <v>212.0</v>
      </c>
      <c r="B213" s="4">
        <f t="shared" si="1"/>
        <v>3219940.234</v>
      </c>
      <c r="C213" s="4">
        <v>3119321.0</v>
      </c>
      <c r="D213" s="4">
        <f t="shared" si="2"/>
        <v>2225228.554</v>
      </c>
      <c r="E213" s="4">
        <f t="shared" si="3"/>
        <v>894092.4455</v>
      </c>
      <c r="F213" s="4">
        <f t="shared" si="4"/>
        <v>100619.2336</v>
      </c>
      <c r="G213" s="4">
        <f t="shared" si="5"/>
        <v>74095625.53</v>
      </c>
      <c r="H213" s="5">
        <v>52468.0</v>
      </c>
    </row>
    <row r="214">
      <c r="A214" s="3">
        <v>213.0</v>
      </c>
      <c r="B214" s="4">
        <f t="shared" si="1"/>
        <v>3218859.611</v>
      </c>
      <c r="C214" s="4">
        <v>3119321.0</v>
      </c>
      <c r="D214" s="4">
        <f t="shared" si="2"/>
        <v>2251296.922</v>
      </c>
      <c r="E214" s="4">
        <f t="shared" si="3"/>
        <v>868024.0784</v>
      </c>
      <c r="F214" s="4">
        <f t="shared" si="4"/>
        <v>99538.61106</v>
      </c>
      <c r="G214" s="4">
        <f t="shared" si="5"/>
        <v>71844328.61</v>
      </c>
      <c r="H214" s="5">
        <v>52499.0</v>
      </c>
    </row>
    <row r="215">
      <c r="A215" s="3">
        <v>214.0</v>
      </c>
      <c r="B215" s="4">
        <f t="shared" si="1"/>
        <v>3217766.329</v>
      </c>
      <c r="C215" s="4">
        <v>3119321.0</v>
      </c>
      <c r="D215" s="4">
        <f t="shared" si="2"/>
        <v>2277670.677</v>
      </c>
      <c r="E215" s="4">
        <f t="shared" si="3"/>
        <v>841650.3226</v>
      </c>
      <c r="F215" s="4">
        <f t="shared" si="4"/>
        <v>98445.32914</v>
      </c>
      <c r="G215" s="4">
        <f t="shared" si="5"/>
        <v>69566657.93</v>
      </c>
      <c r="H215" s="5">
        <v>52529.0</v>
      </c>
    </row>
    <row r="216">
      <c r="A216" s="3">
        <v>215.0</v>
      </c>
      <c r="B216" s="4">
        <f t="shared" si="1"/>
        <v>3216660.24</v>
      </c>
      <c r="C216" s="4">
        <v>3119321.0</v>
      </c>
      <c r="D216" s="4">
        <f t="shared" si="2"/>
        <v>2304353.4</v>
      </c>
      <c r="E216" s="4">
        <f t="shared" si="3"/>
        <v>814967.6004</v>
      </c>
      <c r="F216" s="4">
        <f t="shared" si="4"/>
        <v>97339.23951</v>
      </c>
      <c r="G216" s="4">
        <f t="shared" si="5"/>
        <v>67262304.53</v>
      </c>
      <c r="H216" s="5">
        <v>52560.0</v>
      </c>
    </row>
    <row r="217">
      <c r="A217" s="3">
        <v>216.0</v>
      </c>
      <c r="B217" s="4">
        <f t="shared" si="1"/>
        <v>3215541.192</v>
      </c>
      <c r="C217" s="4">
        <v>3119321.0</v>
      </c>
      <c r="D217" s="4">
        <f t="shared" si="2"/>
        <v>2331348.708</v>
      </c>
      <c r="E217" s="4">
        <f t="shared" si="3"/>
        <v>787972.2924</v>
      </c>
      <c r="F217" s="4">
        <f t="shared" si="4"/>
        <v>96220.19213</v>
      </c>
      <c r="G217" s="4">
        <f t="shared" si="5"/>
        <v>64930955.82</v>
      </c>
      <c r="H217" s="5">
        <v>52590.0</v>
      </c>
    </row>
    <row r="218">
      <c r="A218" s="3">
        <v>217.0</v>
      </c>
      <c r="B218" s="4">
        <f t="shared" si="1"/>
        <v>3214409.035</v>
      </c>
      <c r="C218" s="4">
        <v>3119321.0</v>
      </c>
      <c r="D218" s="4">
        <f t="shared" si="2"/>
        <v>2358660.263</v>
      </c>
      <c r="E218" s="4">
        <f t="shared" si="3"/>
        <v>760660.7365</v>
      </c>
      <c r="F218" s="4">
        <f t="shared" si="4"/>
        <v>95088.0352</v>
      </c>
      <c r="G218" s="4">
        <f t="shared" si="5"/>
        <v>62572295.56</v>
      </c>
      <c r="H218" s="5">
        <v>52621.0</v>
      </c>
    </row>
    <row r="219">
      <c r="A219" s="3">
        <v>218.0</v>
      </c>
      <c r="B219" s="4">
        <f t="shared" si="1"/>
        <v>3213263.615</v>
      </c>
      <c r="C219" s="4">
        <v>3119321.0</v>
      </c>
      <c r="D219" s="4">
        <f t="shared" si="2"/>
        <v>2386291.772</v>
      </c>
      <c r="E219" s="4">
        <f t="shared" si="3"/>
        <v>733029.2281</v>
      </c>
      <c r="F219" s="4">
        <f t="shared" si="4"/>
        <v>93942.61515</v>
      </c>
      <c r="G219" s="4">
        <f t="shared" si="5"/>
        <v>60186003.79</v>
      </c>
      <c r="H219" s="5">
        <v>52652.0</v>
      </c>
    </row>
    <row r="220">
      <c r="A220" s="3">
        <v>219.0</v>
      </c>
      <c r="B220" s="4">
        <f t="shared" si="1"/>
        <v>3212104.777</v>
      </c>
      <c r="C220" s="4">
        <v>3119321.0</v>
      </c>
      <c r="D220" s="4">
        <f t="shared" si="2"/>
        <v>2414246.981</v>
      </c>
      <c r="E220" s="4">
        <f t="shared" si="3"/>
        <v>705074.0189</v>
      </c>
      <c r="F220" s="4">
        <f t="shared" si="4"/>
        <v>92783.7766</v>
      </c>
      <c r="G220" s="4">
        <f t="shared" si="5"/>
        <v>57771756.81</v>
      </c>
      <c r="H220" s="5">
        <v>52681.0</v>
      </c>
    </row>
    <row r="221">
      <c r="A221" s="3">
        <v>220.0</v>
      </c>
      <c r="B221" s="4">
        <f t="shared" si="1"/>
        <v>3210932.362</v>
      </c>
      <c r="C221" s="4">
        <v>3119321.0</v>
      </c>
      <c r="D221" s="4">
        <f t="shared" si="2"/>
        <v>2442529.683</v>
      </c>
      <c r="E221" s="4">
        <f t="shared" si="3"/>
        <v>676791.3167</v>
      </c>
      <c r="F221" s="4">
        <f t="shared" si="4"/>
        <v>91611.36235</v>
      </c>
      <c r="G221" s="4">
        <f t="shared" si="5"/>
        <v>55329227.12</v>
      </c>
      <c r="H221" s="5">
        <v>52712.0</v>
      </c>
    </row>
    <row r="222">
      <c r="A222" s="3">
        <v>221.0</v>
      </c>
      <c r="B222" s="4">
        <f t="shared" si="1"/>
        <v>3209746.213</v>
      </c>
      <c r="C222" s="4">
        <v>3119321.0</v>
      </c>
      <c r="D222" s="4">
        <f t="shared" si="2"/>
        <v>2471143.715</v>
      </c>
      <c r="E222" s="4">
        <f t="shared" si="3"/>
        <v>648177.285</v>
      </c>
      <c r="F222" s="4">
        <f t="shared" si="4"/>
        <v>90425.21337</v>
      </c>
      <c r="G222" s="4">
        <f t="shared" si="5"/>
        <v>52858083.41</v>
      </c>
      <c r="H222" s="5">
        <v>52742.0</v>
      </c>
    </row>
    <row r="223">
      <c r="A223" s="3">
        <v>222.0</v>
      </c>
      <c r="B223" s="4">
        <f t="shared" si="1"/>
        <v>3208546.169</v>
      </c>
      <c r="C223" s="4">
        <v>3119321.0</v>
      </c>
      <c r="D223" s="4">
        <f t="shared" si="2"/>
        <v>2500092.958</v>
      </c>
      <c r="E223" s="4">
        <f t="shared" si="3"/>
        <v>619228.0423</v>
      </c>
      <c r="F223" s="4">
        <f t="shared" si="4"/>
        <v>89225.16875</v>
      </c>
      <c r="G223" s="4">
        <f t="shared" si="5"/>
        <v>50357990.45</v>
      </c>
      <c r="H223" s="5">
        <v>52773.0</v>
      </c>
    </row>
    <row r="224">
      <c r="A224" s="3">
        <v>223.0</v>
      </c>
      <c r="B224" s="4">
        <f t="shared" si="1"/>
        <v>3207332.066</v>
      </c>
      <c r="C224" s="4">
        <v>3119321.0</v>
      </c>
      <c r="D224" s="4">
        <f t="shared" si="2"/>
        <v>2529381.338</v>
      </c>
      <c r="E224" s="4">
        <f t="shared" si="3"/>
        <v>589939.6616</v>
      </c>
      <c r="F224" s="4">
        <f t="shared" si="4"/>
        <v>88011.06571</v>
      </c>
      <c r="G224" s="4">
        <f t="shared" si="5"/>
        <v>47828609.11</v>
      </c>
      <c r="H224" s="5">
        <v>52803.0</v>
      </c>
    </row>
    <row r="225">
      <c r="A225" s="3">
        <v>224.0</v>
      </c>
      <c r="B225" s="4">
        <f t="shared" si="1"/>
        <v>3206103.74</v>
      </c>
      <c r="C225" s="4">
        <v>3119321.0</v>
      </c>
      <c r="D225" s="4">
        <f t="shared" si="2"/>
        <v>2559012.83</v>
      </c>
      <c r="E225" s="4">
        <f t="shared" si="3"/>
        <v>560308.17</v>
      </c>
      <c r="F225" s="4">
        <f t="shared" si="4"/>
        <v>86782.73955</v>
      </c>
      <c r="G225" s="4">
        <f t="shared" si="5"/>
        <v>45269596.28</v>
      </c>
      <c r="H225" s="5">
        <v>52834.0</v>
      </c>
    </row>
    <row r="226">
      <c r="A226" s="3">
        <v>225.0</v>
      </c>
      <c r="B226" s="4">
        <f t="shared" si="1"/>
        <v>3204861.024</v>
      </c>
      <c r="C226" s="4">
        <v>3119321.0</v>
      </c>
      <c r="D226" s="4">
        <f t="shared" si="2"/>
        <v>2588991.452</v>
      </c>
      <c r="E226" s="4">
        <f t="shared" si="3"/>
        <v>530329.548</v>
      </c>
      <c r="F226" s="4">
        <f t="shared" si="4"/>
        <v>85540.02365</v>
      </c>
      <c r="G226" s="4">
        <f t="shared" si="5"/>
        <v>42680604.83</v>
      </c>
      <c r="H226" s="5">
        <v>52865.0</v>
      </c>
    </row>
    <row r="227">
      <c r="A227" s="3">
        <v>226.0</v>
      </c>
      <c r="B227" s="4">
        <f t="shared" si="1"/>
        <v>3203603.749</v>
      </c>
      <c r="C227" s="4">
        <v>3119321.0</v>
      </c>
      <c r="D227" s="4">
        <f t="shared" si="2"/>
        <v>2619321.271</v>
      </c>
      <c r="E227" s="4">
        <f t="shared" si="3"/>
        <v>499999.7289</v>
      </c>
      <c r="F227" s="4">
        <f t="shared" si="4"/>
        <v>84282.74944</v>
      </c>
      <c r="G227" s="4">
        <f t="shared" si="5"/>
        <v>40061283.56</v>
      </c>
      <c r="H227" s="5">
        <v>52895.0</v>
      </c>
    </row>
    <row r="228">
      <c r="A228" s="3">
        <v>227.0</v>
      </c>
      <c r="B228" s="4">
        <f t="shared" si="1"/>
        <v>3202331.746</v>
      </c>
      <c r="C228" s="4">
        <v>3119321.0</v>
      </c>
      <c r="D228" s="4">
        <f t="shared" si="2"/>
        <v>2650006.402</v>
      </c>
      <c r="E228" s="4">
        <f t="shared" si="3"/>
        <v>469314.5984</v>
      </c>
      <c r="F228" s="4">
        <f t="shared" si="4"/>
        <v>83010.74637</v>
      </c>
      <c r="G228" s="4">
        <f t="shared" si="5"/>
        <v>37411277.16</v>
      </c>
      <c r="H228" s="5">
        <v>52926.0</v>
      </c>
    </row>
    <row r="229">
      <c r="A229" s="3">
        <v>228.0</v>
      </c>
      <c r="B229" s="4">
        <f t="shared" si="1"/>
        <v>3201044.842</v>
      </c>
      <c r="C229" s="4">
        <v>3119321.0</v>
      </c>
      <c r="D229" s="4">
        <f t="shared" si="2"/>
        <v>2681051.006</v>
      </c>
      <c r="E229" s="4">
        <f t="shared" si="3"/>
        <v>438269.9943</v>
      </c>
      <c r="F229" s="4">
        <f t="shared" si="4"/>
        <v>81723.84189</v>
      </c>
      <c r="G229" s="4">
        <f t="shared" si="5"/>
        <v>34730226.15</v>
      </c>
      <c r="H229" s="5">
        <v>52956.0</v>
      </c>
    </row>
    <row r="230">
      <c r="A230" s="3">
        <v>229.0</v>
      </c>
      <c r="B230" s="4">
        <f t="shared" si="1"/>
        <v>3199742.861</v>
      </c>
      <c r="C230" s="4">
        <v>3119321.0</v>
      </c>
      <c r="D230" s="4">
        <f t="shared" si="2"/>
        <v>2712459.295</v>
      </c>
      <c r="E230" s="4">
        <f t="shared" si="3"/>
        <v>406861.7052</v>
      </c>
      <c r="F230" s="4">
        <f t="shared" si="4"/>
        <v>80421.86142</v>
      </c>
      <c r="G230" s="4">
        <f t="shared" si="5"/>
        <v>32017766.86</v>
      </c>
      <c r="H230" s="5">
        <v>52987.0</v>
      </c>
    </row>
    <row r="231">
      <c r="A231" s="3">
        <v>230.0</v>
      </c>
      <c r="B231" s="4">
        <f t="shared" si="1"/>
        <v>3198425.628</v>
      </c>
      <c r="C231" s="4">
        <v>3119321.0</v>
      </c>
      <c r="D231" s="4">
        <f t="shared" si="2"/>
        <v>2744235.529</v>
      </c>
      <c r="E231" s="4">
        <f t="shared" si="3"/>
        <v>375085.4706</v>
      </c>
      <c r="F231" s="4">
        <f t="shared" si="4"/>
        <v>79104.62837</v>
      </c>
      <c r="G231" s="4">
        <f t="shared" si="5"/>
        <v>29273531.33</v>
      </c>
      <c r="H231" s="5">
        <v>53018.0</v>
      </c>
    </row>
    <row r="232">
      <c r="A232" s="3">
        <v>231.0</v>
      </c>
      <c r="B232" s="4">
        <f t="shared" si="1"/>
        <v>3197092.964</v>
      </c>
      <c r="C232" s="4">
        <v>3119321.0</v>
      </c>
      <c r="D232" s="4">
        <f t="shared" si="2"/>
        <v>2776384.02</v>
      </c>
      <c r="E232" s="4">
        <f t="shared" si="3"/>
        <v>342936.98</v>
      </c>
      <c r="F232" s="4">
        <f t="shared" si="4"/>
        <v>77771.96404</v>
      </c>
      <c r="G232" s="4">
        <f t="shared" si="5"/>
        <v>26497147.31</v>
      </c>
      <c r="H232" s="5">
        <v>53046.0</v>
      </c>
    </row>
    <row r="233">
      <c r="A233" s="3">
        <v>232.0</v>
      </c>
      <c r="B233" s="4">
        <f t="shared" si="1"/>
        <v>3195744.688</v>
      </c>
      <c r="C233" s="4">
        <v>3119321.0</v>
      </c>
      <c r="D233" s="4">
        <f t="shared" si="2"/>
        <v>2808909.127</v>
      </c>
      <c r="E233" s="4">
        <f t="shared" si="3"/>
        <v>310411.8726</v>
      </c>
      <c r="F233" s="4">
        <f t="shared" si="4"/>
        <v>76423.68766</v>
      </c>
      <c r="G233" s="4">
        <f t="shared" si="5"/>
        <v>23688238.18</v>
      </c>
      <c r="H233" s="5">
        <v>53077.0</v>
      </c>
    </row>
    <row r="234">
      <c r="A234" s="3">
        <v>233.0</v>
      </c>
      <c r="B234" s="4">
        <f t="shared" si="1"/>
        <v>3194380.616</v>
      </c>
      <c r="C234" s="4">
        <v>3119321.0</v>
      </c>
      <c r="D234" s="4">
        <f t="shared" si="2"/>
        <v>2841815.264</v>
      </c>
      <c r="E234" s="4">
        <f t="shared" si="3"/>
        <v>277505.7362</v>
      </c>
      <c r="F234" s="4">
        <f t="shared" si="4"/>
        <v>75059.61633</v>
      </c>
      <c r="G234" s="4">
        <f t="shared" si="5"/>
        <v>20846422.92</v>
      </c>
      <c r="H234" s="5">
        <v>53107.0</v>
      </c>
    </row>
    <row r="235">
      <c r="A235" s="3">
        <v>234.0</v>
      </c>
      <c r="B235" s="4">
        <f t="shared" si="1"/>
        <v>3193000.565</v>
      </c>
      <c r="C235" s="4">
        <v>3119321.0</v>
      </c>
      <c r="D235" s="4">
        <f t="shared" si="2"/>
        <v>2875106.893</v>
      </c>
      <c r="E235" s="4">
        <f t="shared" si="3"/>
        <v>244214.1072</v>
      </c>
      <c r="F235" s="4">
        <f t="shared" si="4"/>
        <v>73679.56502</v>
      </c>
      <c r="G235" s="4">
        <f t="shared" si="5"/>
        <v>17971316.02</v>
      </c>
      <c r="H235" s="5">
        <v>53138.0</v>
      </c>
    </row>
    <row r="236">
      <c r="A236" s="3">
        <v>235.0</v>
      </c>
      <c r="B236" s="4">
        <f t="shared" si="1"/>
        <v>3191604.347</v>
      </c>
      <c r="C236" s="4">
        <v>3119321.0</v>
      </c>
      <c r="D236" s="4">
        <f t="shared" si="2"/>
        <v>2908788.53</v>
      </c>
      <c r="E236" s="4">
        <f t="shared" si="3"/>
        <v>210532.4696</v>
      </c>
      <c r="F236" s="4">
        <f t="shared" si="4"/>
        <v>72283.34653</v>
      </c>
      <c r="G236" s="4">
        <f t="shared" si="5"/>
        <v>15062527.49</v>
      </c>
      <c r="H236" s="5">
        <v>53168.0</v>
      </c>
    </row>
    <row r="237">
      <c r="A237" s="3">
        <v>236.0</v>
      </c>
      <c r="B237" s="4">
        <f t="shared" si="1"/>
        <v>3190191.771</v>
      </c>
      <c r="C237" s="4">
        <v>3119321.0</v>
      </c>
      <c r="D237" s="4">
        <f t="shared" si="2"/>
        <v>2942864.746</v>
      </c>
      <c r="E237" s="4">
        <f t="shared" si="3"/>
        <v>176456.2544</v>
      </c>
      <c r="F237" s="4">
        <f t="shared" si="4"/>
        <v>70870.77145</v>
      </c>
      <c r="G237" s="4">
        <f t="shared" si="5"/>
        <v>12119662.75</v>
      </c>
      <c r="H237" s="5">
        <v>53199.0</v>
      </c>
    </row>
    <row r="238">
      <c r="A238" s="3">
        <v>237.0</v>
      </c>
      <c r="B238" s="4">
        <f t="shared" si="1"/>
        <v>3188762.648</v>
      </c>
      <c r="C238" s="4">
        <v>3119321.0</v>
      </c>
      <c r="D238" s="4">
        <f t="shared" si="2"/>
        <v>2977340.161</v>
      </c>
      <c r="E238" s="4">
        <f t="shared" si="3"/>
        <v>141980.8391</v>
      </c>
      <c r="F238" s="4">
        <f t="shared" si="4"/>
        <v>69441.64817</v>
      </c>
      <c r="G238" s="4">
        <f t="shared" si="5"/>
        <v>9142322.585</v>
      </c>
      <c r="H238" s="5">
        <v>53230.0</v>
      </c>
    </row>
    <row r="239">
      <c r="A239" s="3">
        <v>238.0</v>
      </c>
      <c r="B239" s="4">
        <f t="shared" si="1"/>
        <v>3187316.783</v>
      </c>
      <c r="C239" s="4">
        <v>3119321.0</v>
      </c>
      <c r="D239" s="4">
        <f t="shared" si="2"/>
        <v>3012219.453</v>
      </c>
      <c r="E239" s="4">
        <f t="shared" si="3"/>
        <v>107101.5472</v>
      </c>
      <c r="F239" s="4">
        <f t="shared" si="4"/>
        <v>67995.78284</v>
      </c>
      <c r="G239" s="4">
        <f t="shared" si="5"/>
        <v>6130103.133</v>
      </c>
      <c r="H239" s="5">
        <v>53260.0</v>
      </c>
    </row>
    <row r="240">
      <c r="A240" s="3">
        <v>239.0</v>
      </c>
      <c r="B240" s="4">
        <f t="shared" si="1"/>
        <v>3185853.979</v>
      </c>
      <c r="C240" s="4">
        <v>3119321.0</v>
      </c>
      <c r="D240" s="4">
        <f t="shared" si="2"/>
        <v>3047507.353</v>
      </c>
      <c r="E240" s="4">
        <f t="shared" si="3"/>
        <v>71813.64736</v>
      </c>
      <c r="F240" s="4">
        <f t="shared" si="4"/>
        <v>66532.97931</v>
      </c>
      <c r="G240" s="4">
        <f t="shared" si="5"/>
        <v>3082595.78</v>
      </c>
      <c r="H240" s="5">
        <v>53291.0</v>
      </c>
    </row>
    <row r="241">
      <c r="A241" s="3">
        <v>240.0</v>
      </c>
      <c r="B241" s="4">
        <f t="shared" si="1"/>
        <v>3183761.333</v>
      </c>
      <c r="C241" s="4">
        <v>3118708.0</v>
      </c>
      <c r="D241" s="4">
        <f t="shared" si="2"/>
        <v>3082595.647</v>
      </c>
      <c r="E241" s="4">
        <f t="shared" si="3"/>
        <v>36112.35268</v>
      </c>
      <c r="F241" s="4">
        <f t="shared" si="4"/>
        <v>65053.3334</v>
      </c>
      <c r="G241" s="4">
        <f t="shared" si="5"/>
        <v>0.1326751993</v>
      </c>
      <c r="H241" s="5">
        <v>53321.0</v>
      </c>
    </row>
    <row r="242">
      <c r="A242" s="6" t="s">
        <v>8</v>
      </c>
      <c r="B242" s="4">
        <f t="shared" si="1"/>
        <v>784560149.7</v>
      </c>
      <c r="C242" s="7">
        <f t="shared" ref="C242:F242" si="6">SUM(C2:C241)</f>
        <v>748636427</v>
      </c>
      <c r="D242" s="7">
        <f t="shared" si="6"/>
        <v>249999999.9</v>
      </c>
      <c r="E242" s="7">
        <f t="shared" si="6"/>
        <v>498636427.1</v>
      </c>
      <c r="F242" s="7">
        <f t="shared" si="6"/>
        <v>35923722.69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</v>
      </c>
      <c r="G1" s="1" t="s">
        <v>10</v>
      </c>
      <c r="H1" s="1" t="s">
        <v>11</v>
      </c>
      <c r="I1" s="1" t="s">
        <v>6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7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2" t="s">
        <v>34</v>
      </c>
      <c r="AH1" s="1" t="s">
        <v>35</v>
      </c>
    </row>
    <row r="2">
      <c r="A2" s="3">
        <v>1.0</v>
      </c>
      <c r="B2" s="8">
        <v>2280371.99</v>
      </c>
      <c r="C2" s="8">
        <v>2172381.33</v>
      </c>
      <c r="D2" s="8">
        <v>145765.33</v>
      </c>
      <c r="E2" s="8">
        <v>2026616.0</v>
      </c>
      <c r="F2" s="8">
        <v>0.0</v>
      </c>
      <c r="G2" s="8">
        <v>102949.33</v>
      </c>
      <c r="H2" s="8">
        <v>5041.33</v>
      </c>
      <c r="I2" s="8">
        <v>1.5905423467E8</v>
      </c>
      <c r="J2" s="8">
        <v>1.5905423467E8</v>
      </c>
      <c r="K2" s="8">
        <v>0.0</v>
      </c>
      <c r="L2" s="8">
        <v>0.0</v>
      </c>
      <c r="M2" s="8">
        <v>0.0</v>
      </c>
      <c r="N2" s="8">
        <v>0.0</v>
      </c>
      <c r="O2" s="9">
        <v>45955.0</v>
      </c>
      <c r="P2" s="10"/>
      <c r="Q2" s="8">
        <v>0.0</v>
      </c>
      <c r="R2" s="8">
        <v>145765.33</v>
      </c>
      <c r="S2" s="8">
        <v>2026616.0</v>
      </c>
      <c r="T2" s="8">
        <v>0.0</v>
      </c>
      <c r="U2" s="8">
        <v>0.0</v>
      </c>
      <c r="V2" s="8">
        <v>0.0</v>
      </c>
      <c r="W2" s="8">
        <v>0.0</v>
      </c>
      <c r="X2" s="8">
        <v>0.0</v>
      </c>
      <c r="Y2" s="8">
        <v>0.0</v>
      </c>
      <c r="Z2" s="8">
        <v>0.0</v>
      </c>
      <c r="AA2" s="8">
        <v>102949.33</v>
      </c>
      <c r="AB2" s="8">
        <v>5041.33</v>
      </c>
      <c r="AC2" s="8">
        <v>2280371.99</v>
      </c>
      <c r="AD2" s="3" t="s">
        <v>36</v>
      </c>
      <c r="AE2" s="10"/>
      <c r="AF2" s="3">
        <v>0.0</v>
      </c>
      <c r="AG2" s="8">
        <v>12.73</v>
      </c>
      <c r="AH2" s="8">
        <v>18.58</v>
      </c>
    </row>
    <row r="3">
      <c r="A3" s="3">
        <v>2.0</v>
      </c>
      <c r="B3" s="8">
        <v>1866186.65</v>
      </c>
      <c r="C3" s="8">
        <v>1834611.99</v>
      </c>
      <c r="D3" s="8">
        <v>147311.66</v>
      </c>
      <c r="E3" s="8">
        <v>1687300.33</v>
      </c>
      <c r="F3" s="8">
        <v>0.0</v>
      </c>
      <c r="G3" s="8">
        <v>26533.33</v>
      </c>
      <c r="H3" s="8">
        <v>5041.33</v>
      </c>
      <c r="I3" s="8">
        <v>1.5890692301E8</v>
      </c>
      <c r="J3" s="8">
        <v>1.5890692301E8</v>
      </c>
      <c r="K3" s="8">
        <v>0.0</v>
      </c>
      <c r="L3" s="8">
        <v>0.0</v>
      </c>
      <c r="M3" s="8">
        <v>0.0</v>
      </c>
      <c r="N3" s="8">
        <v>0.0</v>
      </c>
      <c r="O3" s="9">
        <v>45986.0</v>
      </c>
      <c r="P3" s="10"/>
      <c r="Q3" s="8">
        <v>0.0</v>
      </c>
      <c r="R3" s="8">
        <v>147311.66</v>
      </c>
      <c r="S3" s="8">
        <v>1687300.33</v>
      </c>
      <c r="T3" s="8">
        <v>0.0</v>
      </c>
      <c r="U3" s="8">
        <v>0.0</v>
      </c>
      <c r="V3" s="8">
        <v>0.0</v>
      </c>
      <c r="W3" s="8">
        <v>0.0</v>
      </c>
      <c r="X3" s="8">
        <v>0.0</v>
      </c>
      <c r="Y3" s="8">
        <v>0.0</v>
      </c>
      <c r="Z3" s="8">
        <v>0.0</v>
      </c>
      <c r="AA3" s="8">
        <v>26533.33</v>
      </c>
      <c r="AB3" s="8">
        <v>5041.33</v>
      </c>
      <c r="AC3" s="8">
        <v>1866186.65</v>
      </c>
      <c r="AD3" s="3" t="s">
        <v>36</v>
      </c>
      <c r="AE3" s="10"/>
      <c r="AF3" s="3">
        <v>0.0</v>
      </c>
      <c r="AG3" s="8">
        <v>12.73</v>
      </c>
      <c r="AH3" s="8">
        <v>18.58</v>
      </c>
    </row>
    <row r="4">
      <c r="A4" s="3">
        <v>3.0</v>
      </c>
      <c r="B4" s="8">
        <v>1866186.65</v>
      </c>
      <c r="C4" s="8">
        <v>1834611.99</v>
      </c>
      <c r="D4" s="8">
        <v>148874.39</v>
      </c>
      <c r="E4" s="8">
        <v>1685737.6</v>
      </c>
      <c r="F4" s="8">
        <v>0.0</v>
      </c>
      <c r="G4" s="8">
        <v>26533.33</v>
      </c>
      <c r="H4" s="8">
        <v>5041.33</v>
      </c>
      <c r="I4" s="8">
        <v>1.5875804862E8</v>
      </c>
      <c r="J4" s="8">
        <v>1.5875804862E8</v>
      </c>
      <c r="K4" s="8">
        <v>0.0</v>
      </c>
      <c r="L4" s="8">
        <v>0.0</v>
      </c>
      <c r="M4" s="8">
        <v>0.0</v>
      </c>
      <c r="N4" s="8">
        <v>0.0</v>
      </c>
      <c r="O4" s="9">
        <v>46016.0</v>
      </c>
      <c r="P4" s="10"/>
      <c r="Q4" s="8">
        <v>0.0</v>
      </c>
      <c r="R4" s="8">
        <v>148874.39</v>
      </c>
      <c r="S4" s="8">
        <v>1685737.6</v>
      </c>
      <c r="T4" s="8">
        <v>0.0</v>
      </c>
      <c r="U4" s="8">
        <v>0.0</v>
      </c>
      <c r="V4" s="8">
        <v>0.0</v>
      </c>
      <c r="W4" s="8">
        <v>0.0</v>
      </c>
      <c r="X4" s="8">
        <v>0.0</v>
      </c>
      <c r="Y4" s="8">
        <v>0.0</v>
      </c>
      <c r="Z4" s="8">
        <v>0.0</v>
      </c>
      <c r="AA4" s="8">
        <v>26533.33</v>
      </c>
      <c r="AB4" s="8">
        <v>5041.33</v>
      </c>
      <c r="AC4" s="8">
        <v>1866186.65</v>
      </c>
      <c r="AD4" s="3" t="s">
        <v>36</v>
      </c>
      <c r="AE4" s="10"/>
      <c r="AF4" s="3">
        <v>0.0</v>
      </c>
      <c r="AG4" s="8">
        <v>12.73</v>
      </c>
      <c r="AH4" s="8">
        <v>18.58</v>
      </c>
    </row>
    <row r="5">
      <c r="A5" s="3">
        <v>4.0</v>
      </c>
      <c r="B5" s="8">
        <v>1866186.65</v>
      </c>
      <c r="C5" s="8">
        <v>1834611.99</v>
      </c>
      <c r="D5" s="8">
        <v>150453.7</v>
      </c>
      <c r="E5" s="8">
        <v>1684158.29</v>
      </c>
      <c r="F5" s="8">
        <v>0.0</v>
      </c>
      <c r="G5" s="8">
        <v>26533.33</v>
      </c>
      <c r="H5" s="8">
        <v>5041.33</v>
      </c>
      <c r="I5" s="8">
        <v>1.5860759492E8</v>
      </c>
      <c r="J5" s="8">
        <v>1.5860759492E8</v>
      </c>
      <c r="K5" s="8">
        <v>0.0</v>
      </c>
      <c r="L5" s="8">
        <v>0.0</v>
      </c>
      <c r="M5" s="8">
        <v>0.0</v>
      </c>
      <c r="N5" s="8">
        <v>0.0</v>
      </c>
      <c r="O5" s="11">
        <v>46047.0</v>
      </c>
      <c r="P5" s="10"/>
      <c r="Q5" s="8">
        <v>0.0</v>
      </c>
      <c r="R5" s="8">
        <v>150453.7</v>
      </c>
      <c r="S5" s="8">
        <v>1684158.29</v>
      </c>
      <c r="T5" s="8">
        <v>0.0</v>
      </c>
      <c r="U5" s="8">
        <v>0.0</v>
      </c>
      <c r="V5" s="8">
        <v>0.0</v>
      </c>
      <c r="W5" s="8">
        <v>0.0</v>
      </c>
      <c r="X5" s="8">
        <v>0.0</v>
      </c>
      <c r="Y5" s="8">
        <v>0.0</v>
      </c>
      <c r="Z5" s="8">
        <v>0.0</v>
      </c>
      <c r="AA5" s="8">
        <v>26533.33</v>
      </c>
      <c r="AB5" s="8">
        <v>5041.33</v>
      </c>
      <c r="AC5" s="8">
        <v>1866186.65</v>
      </c>
      <c r="AD5" s="3" t="s">
        <v>36</v>
      </c>
      <c r="AE5" s="10"/>
      <c r="AF5" s="3">
        <v>0.0</v>
      </c>
      <c r="AG5" s="8">
        <v>12.73</v>
      </c>
      <c r="AH5" s="8">
        <v>18.58</v>
      </c>
    </row>
    <row r="6">
      <c r="A6" s="3">
        <v>5.0</v>
      </c>
      <c r="B6" s="8">
        <v>1866186.65</v>
      </c>
      <c r="C6" s="8">
        <v>1834611.99</v>
      </c>
      <c r="D6" s="8">
        <v>152049.76</v>
      </c>
      <c r="E6" s="8">
        <v>1682562.23</v>
      </c>
      <c r="F6" s="8">
        <v>0.0</v>
      </c>
      <c r="G6" s="8">
        <v>26533.33</v>
      </c>
      <c r="H6" s="8">
        <v>5041.33</v>
      </c>
      <c r="I6" s="8">
        <v>1.5845554516E8</v>
      </c>
      <c r="J6" s="8">
        <v>1.5845554516E8</v>
      </c>
      <c r="K6" s="8">
        <v>0.0</v>
      </c>
      <c r="L6" s="8">
        <v>0.0</v>
      </c>
      <c r="M6" s="8">
        <v>0.0</v>
      </c>
      <c r="N6" s="8">
        <v>0.0</v>
      </c>
      <c r="O6" s="11">
        <v>46078.0</v>
      </c>
      <c r="P6" s="10"/>
      <c r="Q6" s="8">
        <v>0.0</v>
      </c>
      <c r="R6" s="8">
        <v>152049.76</v>
      </c>
      <c r="S6" s="8">
        <v>1682562.23</v>
      </c>
      <c r="T6" s="8">
        <v>0.0</v>
      </c>
      <c r="U6" s="8">
        <v>0.0</v>
      </c>
      <c r="V6" s="8">
        <v>0.0</v>
      </c>
      <c r="W6" s="8">
        <v>0.0</v>
      </c>
      <c r="X6" s="8">
        <v>0.0</v>
      </c>
      <c r="Y6" s="8">
        <v>0.0</v>
      </c>
      <c r="Z6" s="8">
        <v>0.0</v>
      </c>
      <c r="AA6" s="8">
        <v>26533.33</v>
      </c>
      <c r="AB6" s="8">
        <v>5041.33</v>
      </c>
      <c r="AC6" s="8">
        <v>1866186.65</v>
      </c>
      <c r="AD6" s="3" t="s">
        <v>36</v>
      </c>
      <c r="AE6" s="10"/>
      <c r="AF6" s="3">
        <v>0.0</v>
      </c>
      <c r="AG6" s="8">
        <v>12.73</v>
      </c>
      <c r="AH6" s="8">
        <v>18.58</v>
      </c>
    </row>
    <row r="7">
      <c r="A7" s="3">
        <v>6.0</v>
      </c>
      <c r="B7" s="8">
        <v>1866186.65</v>
      </c>
      <c r="C7" s="8">
        <v>1834611.99</v>
      </c>
      <c r="D7" s="8">
        <v>153662.75</v>
      </c>
      <c r="E7" s="8">
        <v>1680949.24</v>
      </c>
      <c r="F7" s="8">
        <v>0.0</v>
      </c>
      <c r="G7" s="8">
        <v>26533.33</v>
      </c>
      <c r="H7" s="8">
        <v>5041.33</v>
      </c>
      <c r="I7" s="8">
        <v>1.5830188241E8</v>
      </c>
      <c r="J7" s="8">
        <v>1.5830188241E8</v>
      </c>
      <c r="K7" s="8">
        <v>0.0</v>
      </c>
      <c r="L7" s="8">
        <v>0.0</v>
      </c>
      <c r="M7" s="8">
        <v>0.0</v>
      </c>
      <c r="N7" s="8">
        <v>0.0</v>
      </c>
      <c r="O7" s="11">
        <v>46106.0</v>
      </c>
      <c r="P7" s="10"/>
      <c r="Q7" s="8">
        <v>0.0</v>
      </c>
      <c r="R7" s="8">
        <v>153662.75</v>
      </c>
      <c r="S7" s="8">
        <v>1680949.24</v>
      </c>
      <c r="T7" s="8">
        <v>0.0</v>
      </c>
      <c r="U7" s="8">
        <v>0.0</v>
      </c>
      <c r="V7" s="8">
        <v>0.0</v>
      </c>
      <c r="W7" s="8">
        <v>0.0</v>
      </c>
      <c r="X7" s="8">
        <v>0.0</v>
      </c>
      <c r="Y7" s="8">
        <v>0.0</v>
      </c>
      <c r="Z7" s="8">
        <v>0.0</v>
      </c>
      <c r="AA7" s="8">
        <v>26533.33</v>
      </c>
      <c r="AB7" s="8">
        <v>5041.33</v>
      </c>
      <c r="AC7" s="8">
        <v>1866186.65</v>
      </c>
      <c r="AD7" s="3" t="s">
        <v>36</v>
      </c>
      <c r="AE7" s="10"/>
      <c r="AF7" s="3">
        <v>0.0</v>
      </c>
      <c r="AG7" s="8">
        <v>12.73</v>
      </c>
      <c r="AH7" s="8">
        <v>18.58</v>
      </c>
    </row>
    <row r="8">
      <c r="A8" s="3">
        <v>7.0</v>
      </c>
      <c r="B8" s="8">
        <v>1866186.65</v>
      </c>
      <c r="C8" s="8">
        <v>1834611.99</v>
      </c>
      <c r="D8" s="8">
        <v>155292.86</v>
      </c>
      <c r="E8" s="8">
        <v>1679319.13</v>
      </c>
      <c r="F8" s="8">
        <v>0.0</v>
      </c>
      <c r="G8" s="8">
        <v>26533.33</v>
      </c>
      <c r="H8" s="8">
        <v>5041.33</v>
      </c>
      <c r="I8" s="8">
        <v>1.5814658955E8</v>
      </c>
      <c r="J8" s="8">
        <v>1.5814658955E8</v>
      </c>
      <c r="K8" s="8">
        <v>0.0</v>
      </c>
      <c r="L8" s="8">
        <v>0.0</v>
      </c>
      <c r="M8" s="8">
        <v>0.0</v>
      </c>
      <c r="N8" s="8">
        <v>0.0</v>
      </c>
      <c r="O8" s="11">
        <v>46137.0</v>
      </c>
      <c r="P8" s="10"/>
      <c r="Q8" s="8">
        <v>0.0</v>
      </c>
      <c r="R8" s="8">
        <v>155292.86</v>
      </c>
      <c r="S8" s="8">
        <v>1679319.13</v>
      </c>
      <c r="T8" s="8">
        <v>0.0</v>
      </c>
      <c r="U8" s="8">
        <v>0.0</v>
      </c>
      <c r="V8" s="8">
        <v>0.0</v>
      </c>
      <c r="W8" s="8">
        <v>0.0</v>
      </c>
      <c r="X8" s="8">
        <v>0.0</v>
      </c>
      <c r="Y8" s="8">
        <v>0.0</v>
      </c>
      <c r="Z8" s="8">
        <v>0.0</v>
      </c>
      <c r="AA8" s="8">
        <v>26533.33</v>
      </c>
      <c r="AB8" s="8">
        <v>5041.33</v>
      </c>
      <c r="AC8" s="8">
        <v>1866186.65</v>
      </c>
      <c r="AD8" s="3" t="s">
        <v>36</v>
      </c>
      <c r="AE8" s="10"/>
      <c r="AF8" s="3">
        <v>0.0</v>
      </c>
      <c r="AG8" s="8">
        <v>12.73</v>
      </c>
      <c r="AH8" s="8">
        <v>18.58</v>
      </c>
    </row>
    <row r="9">
      <c r="A9" s="3">
        <v>8.0</v>
      </c>
      <c r="B9" s="8">
        <v>1866186.65</v>
      </c>
      <c r="C9" s="8">
        <v>1834611.99</v>
      </c>
      <c r="D9" s="8">
        <v>156940.26</v>
      </c>
      <c r="E9" s="8">
        <v>1677671.73</v>
      </c>
      <c r="F9" s="8">
        <v>0.0</v>
      </c>
      <c r="G9" s="8">
        <v>26533.33</v>
      </c>
      <c r="H9" s="8">
        <v>5041.33</v>
      </c>
      <c r="I9" s="8">
        <v>1.5798964929E8</v>
      </c>
      <c r="J9" s="8">
        <v>1.5798964929E8</v>
      </c>
      <c r="K9" s="8">
        <v>0.0</v>
      </c>
      <c r="L9" s="8">
        <v>0.0</v>
      </c>
      <c r="M9" s="8">
        <v>0.0</v>
      </c>
      <c r="N9" s="8">
        <v>0.0</v>
      </c>
      <c r="O9" s="11">
        <v>46167.0</v>
      </c>
      <c r="P9" s="10"/>
      <c r="Q9" s="8">
        <v>0.0</v>
      </c>
      <c r="R9" s="8">
        <v>156940.26</v>
      </c>
      <c r="S9" s="8">
        <v>1677671.73</v>
      </c>
      <c r="T9" s="8">
        <v>0.0</v>
      </c>
      <c r="U9" s="8">
        <v>0.0</v>
      </c>
      <c r="V9" s="8">
        <v>0.0</v>
      </c>
      <c r="W9" s="8">
        <v>0.0</v>
      </c>
      <c r="X9" s="8">
        <v>0.0</v>
      </c>
      <c r="Y9" s="8">
        <v>0.0</v>
      </c>
      <c r="Z9" s="8">
        <v>0.0</v>
      </c>
      <c r="AA9" s="8">
        <v>26533.33</v>
      </c>
      <c r="AB9" s="8">
        <v>5041.33</v>
      </c>
      <c r="AC9" s="8">
        <v>1866186.65</v>
      </c>
      <c r="AD9" s="3" t="s">
        <v>36</v>
      </c>
      <c r="AE9" s="10"/>
      <c r="AF9" s="3">
        <v>0.0</v>
      </c>
      <c r="AG9" s="8">
        <v>12.73</v>
      </c>
      <c r="AH9" s="8">
        <v>18.58</v>
      </c>
    </row>
    <row r="10">
      <c r="A10" s="3">
        <v>9.0</v>
      </c>
      <c r="B10" s="8">
        <v>1866186.65</v>
      </c>
      <c r="C10" s="8">
        <v>1834611.99</v>
      </c>
      <c r="D10" s="8">
        <v>158605.13</v>
      </c>
      <c r="E10" s="8">
        <v>1676006.86</v>
      </c>
      <c r="F10" s="8">
        <v>0.0</v>
      </c>
      <c r="G10" s="8">
        <v>26533.33</v>
      </c>
      <c r="H10" s="8">
        <v>5041.33</v>
      </c>
      <c r="I10" s="8">
        <v>1.5783104416E8</v>
      </c>
      <c r="J10" s="8">
        <v>1.5783104416E8</v>
      </c>
      <c r="K10" s="8">
        <v>0.0</v>
      </c>
      <c r="L10" s="8">
        <v>0.0</v>
      </c>
      <c r="M10" s="8">
        <v>0.0</v>
      </c>
      <c r="N10" s="8">
        <v>0.0</v>
      </c>
      <c r="O10" s="11">
        <v>46198.0</v>
      </c>
      <c r="P10" s="10"/>
      <c r="Q10" s="8">
        <v>0.0</v>
      </c>
      <c r="R10" s="8">
        <v>158605.13</v>
      </c>
      <c r="S10" s="8">
        <v>1676006.86</v>
      </c>
      <c r="T10" s="8">
        <v>0.0</v>
      </c>
      <c r="U10" s="8">
        <v>0.0</v>
      </c>
      <c r="V10" s="8">
        <v>0.0</v>
      </c>
      <c r="W10" s="8">
        <v>0.0</v>
      </c>
      <c r="X10" s="8">
        <v>0.0</v>
      </c>
      <c r="Y10" s="8">
        <v>0.0</v>
      </c>
      <c r="Z10" s="8">
        <v>0.0</v>
      </c>
      <c r="AA10" s="8">
        <v>26533.33</v>
      </c>
      <c r="AB10" s="8">
        <v>5041.33</v>
      </c>
      <c r="AC10" s="8">
        <v>1866186.65</v>
      </c>
      <c r="AD10" s="3" t="s">
        <v>36</v>
      </c>
      <c r="AE10" s="10"/>
      <c r="AF10" s="3">
        <v>0.0</v>
      </c>
      <c r="AG10" s="8">
        <v>12.73</v>
      </c>
      <c r="AH10" s="8">
        <v>18.58</v>
      </c>
    </row>
    <row r="11">
      <c r="A11" s="3">
        <v>10.0</v>
      </c>
      <c r="B11" s="8">
        <v>1866186.65</v>
      </c>
      <c r="C11" s="8">
        <v>1834611.99</v>
      </c>
      <c r="D11" s="8">
        <v>160287.67</v>
      </c>
      <c r="E11" s="8">
        <v>1674324.32</v>
      </c>
      <c r="F11" s="8">
        <v>0.0</v>
      </c>
      <c r="G11" s="8">
        <v>26533.33</v>
      </c>
      <c r="H11" s="8">
        <v>5041.33</v>
      </c>
      <c r="I11" s="8">
        <v>1.5767075649E8</v>
      </c>
      <c r="J11" s="8">
        <v>1.5767075649E8</v>
      </c>
      <c r="K11" s="8">
        <v>0.0</v>
      </c>
      <c r="L11" s="8">
        <v>0.0</v>
      </c>
      <c r="M11" s="8">
        <v>0.0</v>
      </c>
      <c r="N11" s="8">
        <v>0.0</v>
      </c>
      <c r="O11" s="11">
        <v>46228.0</v>
      </c>
      <c r="P11" s="10"/>
      <c r="Q11" s="8">
        <v>0.0</v>
      </c>
      <c r="R11" s="8">
        <v>160287.67</v>
      </c>
      <c r="S11" s="8">
        <v>1674324.32</v>
      </c>
      <c r="T11" s="8">
        <v>0.0</v>
      </c>
      <c r="U11" s="8">
        <v>0.0</v>
      </c>
      <c r="V11" s="8">
        <v>0.0</v>
      </c>
      <c r="W11" s="8">
        <v>0.0</v>
      </c>
      <c r="X11" s="8">
        <v>0.0</v>
      </c>
      <c r="Y11" s="8">
        <v>0.0</v>
      </c>
      <c r="Z11" s="8">
        <v>0.0</v>
      </c>
      <c r="AA11" s="8">
        <v>26533.33</v>
      </c>
      <c r="AB11" s="8">
        <v>5041.33</v>
      </c>
      <c r="AC11" s="8">
        <v>1866186.65</v>
      </c>
      <c r="AD11" s="3" t="s">
        <v>36</v>
      </c>
      <c r="AE11" s="10"/>
      <c r="AF11" s="3">
        <v>0.0</v>
      </c>
      <c r="AG11" s="8">
        <v>12.73</v>
      </c>
      <c r="AH11" s="8">
        <v>18.58</v>
      </c>
    </row>
    <row r="12">
      <c r="A12" s="3">
        <v>11.0</v>
      </c>
      <c r="B12" s="8">
        <v>1866186.65</v>
      </c>
      <c r="C12" s="8">
        <v>1834611.99</v>
      </c>
      <c r="D12" s="8">
        <v>161988.05</v>
      </c>
      <c r="E12" s="8">
        <v>1672623.94</v>
      </c>
      <c r="F12" s="8">
        <v>0.0</v>
      </c>
      <c r="G12" s="8">
        <v>26533.33</v>
      </c>
      <c r="H12" s="8">
        <v>5041.33</v>
      </c>
      <c r="I12" s="8">
        <v>1.5750876844E8</v>
      </c>
      <c r="J12" s="8">
        <v>1.5750876844E8</v>
      </c>
      <c r="K12" s="8">
        <v>0.0</v>
      </c>
      <c r="L12" s="8">
        <v>0.0</v>
      </c>
      <c r="M12" s="8">
        <v>0.0</v>
      </c>
      <c r="N12" s="8">
        <v>0.0</v>
      </c>
      <c r="O12" s="11">
        <v>46259.0</v>
      </c>
      <c r="P12" s="10"/>
      <c r="Q12" s="8">
        <v>0.0</v>
      </c>
      <c r="R12" s="8">
        <v>161988.05</v>
      </c>
      <c r="S12" s="8">
        <v>1672623.94</v>
      </c>
      <c r="T12" s="8">
        <v>0.0</v>
      </c>
      <c r="U12" s="8">
        <v>0.0</v>
      </c>
      <c r="V12" s="8">
        <v>0.0</v>
      </c>
      <c r="W12" s="8">
        <v>0.0</v>
      </c>
      <c r="X12" s="8">
        <v>0.0</v>
      </c>
      <c r="Y12" s="8">
        <v>0.0</v>
      </c>
      <c r="Z12" s="8">
        <v>0.0</v>
      </c>
      <c r="AA12" s="8">
        <v>26533.33</v>
      </c>
      <c r="AB12" s="8">
        <v>5041.33</v>
      </c>
      <c r="AC12" s="8">
        <v>1866186.65</v>
      </c>
      <c r="AD12" s="3" t="s">
        <v>36</v>
      </c>
      <c r="AE12" s="10"/>
      <c r="AF12" s="3">
        <v>0.0</v>
      </c>
      <c r="AG12" s="8">
        <v>12.73</v>
      </c>
      <c r="AH12" s="8">
        <v>18.58</v>
      </c>
    </row>
    <row r="13">
      <c r="A13" s="3">
        <v>12.0</v>
      </c>
      <c r="B13" s="8">
        <v>1866186.65</v>
      </c>
      <c r="C13" s="8">
        <v>1834611.99</v>
      </c>
      <c r="D13" s="8">
        <v>163706.48</v>
      </c>
      <c r="E13" s="8">
        <v>1670905.51</v>
      </c>
      <c r="F13" s="8">
        <v>0.0</v>
      </c>
      <c r="G13" s="8">
        <v>26533.33</v>
      </c>
      <c r="H13" s="8">
        <v>5041.33</v>
      </c>
      <c r="I13" s="8">
        <v>1.5734506196E8</v>
      </c>
      <c r="J13" s="8">
        <v>1.5734506196E8</v>
      </c>
      <c r="K13" s="8">
        <v>0.0</v>
      </c>
      <c r="L13" s="8">
        <v>0.0</v>
      </c>
      <c r="M13" s="8">
        <v>0.0</v>
      </c>
      <c r="N13" s="8">
        <v>0.0</v>
      </c>
      <c r="O13" s="11">
        <v>46290.0</v>
      </c>
      <c r="P13" s="10"/>
      <c r="Q13" s="8">
        <v>0.0</v>
      </c>
      <c r="R13" s="8">
        <v>163706.48</v>
      </c>
      <c r="S13" s="8">
        <v>1670905.51</v>
      </c>
      <c r="T13" s="8">
        <v>0.0</v>
      </c>
      <c r="U13" s="8">
        <v>0.0</v>
      </c>
      <c r="V13" s="8">
        <v>0.0</v>
      </c>
      <c r="W13" s="8">
        <v>0.0</v>
      </c>
      <c r="X13" s="8">
        <v>0.0</v>
      </c>
      <c r="Y13" s="8">
        <v>0.0</v>
      </c>
      <c r="Z13" s="8">
        <v>0.0</v>
      </c>
      <c r="AA13" s="8">
        <v>26533.33</v>
      </c>
      <c r="AB13" s="8">
        <v>5041.33</v>
      </c>
      <c r="AC13" s="8">
        <v>1866186.65</v>
      </c>
      <c r="AD13" s="3" t="s">
        <v>36</v>
      </c>
      <c r="AE13" s="10"/>
      <c r="AF13" s="3">
        <v>0.0</v>
      </c>
      <c r="AG13" s="8">
        <v>12.73</v>
      </c>
      <c r="AH13" s="8">
        <v>18.58</v>
      </c>
    </row>
    <row r="14">
      <c r="A14" s="3">
        <v>13.0</v>
      </c>
      <c r="B14" s="8">
        <v>1834611.99</v>
      </c>
      <c r="C14" s="8">
        <v>1834611.99</v>
      </c>
      <c r="D14" s="8">
        <v>165443.13</v>
      </c>
      <c r="E14" s="8">
        <v>1669168.86</v>
      </c>
      <c r="F14" s="8">
        <v>0.0</v>
      </c>
      <c r="G14" s="8">
        <v>0.0</v>
      </c>
      <c r="H14" s="8">
        <v>0.0</v>
      </c>
      <c r="I14" s="8">
        <v>1.5717961883E8</v>
      </c>
      <c r="J14" s="8">
        <v>1.5717961883E8</v>
      </c>
      <c r="K14" s="8">
        <v>0.0</v>
      </c>
      <c r="L14" s="8">
        <v>0.0</v>
      </c>
      <c r="M14" s="8">
        <v>0.0</v>
      </c>
      <c r="N14" s="8">
        <v>0.0</v>
      </c>
      <c r="O14" s="9">
        <v>46320.0</v>
      </c>
      <c r="P14" s="10"/>
      <c r="Q14" s="8">
        <v>0.0</v>
      </c>
      <c r="R14" s="8">
        <v>165443.13</v>
      </c>
      <c r="S14" s="8">
        <v>1669168.86</v>
      </c>
      <c r="T14" s="8">
        <v>0.0</v>
      </c>
      <c r="U14" s="8">
        <v>0.0</v>
      </c>
      <c r="V14" s="8">
        <v>0.0</v>
      </c>
      <c r="W14" s="8">
        <v>0.0</v>
      </c>
      <c r="X14" s="8">
        <v>0.0</v>
      </c>
      <c r="Y14" s="8">
        <v>0.0</v>
      </c>
      <c r="Z14" s="8">
        <v>0.0</v>
      </c>
      <c r="AA14" s="8">
        <v>0.0</v>
      </c>
      <c r="AB14" s="8">
        <v>0.0</v>
      </c>
      <c r="AC14" s="8">
        <v>1834611.99</v>
      </c>
      <c r="AD14" s="3" t="s">
        <v>36</v>
      </c>
      <c r="AE14" s="10"/>
      <c r="AF14" s="3">
        <v>0.0</v>
      </c>
      <c r="AG14" s="8">
        <v>12.73</v>
      </c>
      <c r="AH14" s="8">
        <v>18.58</v>
      </c>
    </row>
    <row r="15">
      <c r="A15" s="3">
        <v>14.0</v>
      </c>
      <c r="B15" s="8">
        <v>1834611.99</v>
      </c>
      <c r="C15" s="8">
        <v>1834611.99</v>
      </c>
      <c r="D15" s="8">
        <v>167198.21</v>
      </c>
      <c r="E15" s="8">
        <v>1667413.78</v>
      </c>
      <c r="F15" s="8">
        <v>0.0</v>
      </c>
      <c r="G15" s="8">
        <v>0.0</v>
      </c>
      <c r="H15" s="8">
        <v>0.0</v>
      </c>
      <c r="I15" s="8">
        <v>1.5701242062E8</v>
      </c>
      <c r="J15" s="8">
        <v>1.5701242062E8</v>
      </c>
      <c r="K15" s="8">
        <v>0.0</v>
      </c>
      <c r="L15" s="8">
        <v>0.0</v>
      </c>
      <c r="M15" s="8">
        <v>0.0</v>
      </c>
      <c r="N15" s="8">
        <v>0.0</v>
      </c>
      <c r="O15" s="9">
        <v>46351.0</v>
      </c>
      <c r="P15" s="10"/>
      <c r="Q15" s="8">
        <v>0.0</v>
      </c>
      <c r="R15" s="8">
        <v>167198.21</v>
      </c>
      <c r="S15" s="8">
        <v>1667413.78</v>
      </c>
      <c r="T15" s="8">
        <v>0.0</v>
      </c>
      <c r="U15" s="8">
        <v>0.0</v>
      </c>
      <c r="V15" s="8">
        <v>0.0</v>
      </c>
      <c r="W15" s="8">
        <v>0.0</v>
      </c>
      <c r="X15" s="8">
        <v>0.0</v>
      </c>
      <c r="Y15" s="8">
        <v>0.0</v>
      </c>
      <c r="Z15" s="8">
        <v>0.0</v>
      </c>
      <c r="AA15" s="8">
        <v>0.0</v>
      </c>
      <c r="AB15" s="8">
        <v>0.0</v>
      </c>
      <c r="AC15" s="8">
        <v>1834611.99</v>
      </c>
      <c r="AD15" s="3" t="s">
        <v>36</v>
      </c>
      <c r="AE15" s="10"/>
      <c r="AF15" s="3">
        <v>0.0</v>
      </c>
      <c r="AG15" s="8">
        <v>12.73</v>
      </c>
      <c r="AH15" s="8">
        <v>18.58</v>
      </c>
    </row>
    <row r="16">
      <c r="A16" s="3">
        <v>15.0</v>
      </c>
      <c r="B16" s="8">
        <v>1834611.99</v>
      </c>
      <c r="C16" s="8">
        <v>1834611.99</v>
      </c>
      <c r="D16" s="8">
        <v>168971.9</v>
      </c>
      <c r="E16" s="8">
        <v>1665640.09</v>
      </c>
      <c r="F16" s="8">
        <v>0.0</v>
      </c>
      <c r="G16" s="8">
        <v>0.0</v>
      </c>
      <c r="H16" s="8">
        <v>0.0</v>
      </c>
      <c r="I16" s="8">
        <v>1.5684344872E8</v>
      </c>
      <c r="J16" s="8">
        <v>1.5684344872E8</v>
      </c>
      <c r="K16" s="8">
        <v>0.0</v>
      </c>
      <c r="L16" s="8">
        <v>0.0</v>
      </c>
      <c r="M16" s="8">
        <v>0.0</v>
      </c>
      <c r="N16" s="8">
        <v>0.0</v>
      </c>
      <c r="O16" s="9">
        <v>46381.0</v>
      </c>
      <c r="P16" s="10"/>
      <c r="Q16" s="8">
        <v>0.0</v>
      </c>
      <c r="R16" s="8">
        <v>168971.9</v>
      </c>
      <c r="S16" s="8">
        <v>1665640.09</v>
      </c>
      <c r="T16" s="8">
        <v>0.0</v>
      </c>
      <c r="U16" s="8">
        <v>0.0</v>
      </c>
      <c r="V16" s="8">
        <v>0.0</v>
      </c>
      <c r="W16" s="8">
        <v>0.0</v>
      </c>
      <c r="X16" s="8">
        <v>0.0</v>
      </c>
      <c r="Y16" s="8">
        <v>0.0</v>
      </c>
      <c r="Z16" s="8">
        <v>0.0</v>
      </c>
      <c r="AA16" s="8">
        <v>0.0</v>
      </c>
      <c r="AB16" s="8">
        <v>0.0</v>
      </c>
      <c r="AC16" s="8">
        <v>1834611.99</v>
      </c>
      <c r="AD16" s="3" t="s">
        <v>36</v>
      </c>
      <c r="AE16" s="10"/>
      <c r="AF16" s="3">
        <v>0.0</v>
      </c>
      <c r="AG16" s="8">
        <v>12.73</v>
      </c>
      <c r="AH16" s="8">
        <v>18.58</v>
      </c>
    </row>
    <row r="17">
      <c r="A17" s="3">
        <v>16.0</v>
      </c>
      <c r="B17" s="8">
        <v>1834611.99</v>
      </c>
      <c r="C17" s="8">
        <v>1834611.99</v>
      </c>
      <c r="D17" s="8">
        <v>170764.41</v>
      </c>
      <c r="E17" s="8">
        <v>1663847.58</v>
      </c>
      <c r="F17" s="8">
        <v>0.0</v>
      </c>
      <c r="G17" s="8">
        <v>0.0</v>
      </c>
      <c r="H17" s="8">
        <v>0.0</v>
      </c>
      <c r="I17" s="8">
        <v>1.5667268431E8</v>
      </c>
      <c r="J17" s="8">
        <v>1.5667268431E8</v>
      </c>
      <c r="K17" s="8">
        <v>0.0</v>
      </c>
      <c r="L17" s="8">
        <v>0.0</v>
      </c>
      <c r="M17" s="8">
        <v>0.0</v>
      </c>
      <c r="N17" s="8">
        <v>0.0</v>
      </c>
      <c r="O17" s="11">
        <v>46412.0</v>
      </c>
      <c r="P17" s="10"/>
      <c r="Q17" s="8">
        <v>0.0</v>
      </c>
      <c r="R17" s="8">
        <v>170764.41</v>
      </c>
      <c r="S17" s="8">
        <v>1663847.58</v>
      </c>
      <c r="T17" s="8">
        <v>0.0</v>
      </c>
      <c r="U17" s="8">
        <v>0.0</v>
      </c>
      <c r="V17" s="8">
        <v>0.0</v>
      </c>
      <c r="W17" s="8">
        <v>0.0</v>
      </c>
      <c r="X17" s="8">
        <v>0.0</v>
      </c>
      <c r="Y17" s="8">
        <v>0.0</v>
      </c>
      <c r="Z17" s="8">
        <v>0.0</v>
      </c>
      <c r="AA17" s="8">
        <v>0.0</v>
      </c>
      <c r="AB17" s="8">
        <v>0.0</v>
      </c>
      <c r="AC17" s="8">
        <v>1834611.99</v>
      </c>
      <c r="AD17" s="3" t="s">
        <v>36</v>
      </c>
      <c r="AE17" s="10"/>
      <c r="AF17" s="3">
        <v>0.0</v>
      </c>
      <c r="AG17" s="8">
        <v>12.73</v>
      </c>
      <c r="AH17" s="8">
        <v>18.58</v>
      </c>
    </row>
    <row r="18">
      <c r="A18" s="3">
        <v>17.0</v>
      </c>
      <c r="B18" s="8">
        <v>1834611.99</v>
      </c>
      <c r="C18" s="8">
        <v>1834611.99</v>
      </c>
      <c r="D18" s="8">
        <v>172575.94</v>
      </c>
      <c r="E18" s="8">
        <v>1662036.05</v>
      </c>
      <c r="F18" s="8">
        <v>0.0</v>
      </c>
      <c r="G18" s="8">
        <v>0.0</v>
      </c>
      <c r="H18" s="8">
        <v>0.0</v>
      </c>
      <c r="I18" s="8">
        <v>1.5650010837E8</v>
      </c>
      <c r="J18" s="8">
        <v>1.5650010837E8</v>
      </c>
      <c r="K18" s="8">
        <v>0.0</v>
      </c>
      <c r="L18" s="8">
        <v>0.0</v>
      </c>
      <c r="M18" s="8">
        <v>0.0</v>
      </c>
      <c r="N18" s="8">
        <v>0.0</v>
      </c>
      <c r="O18" s="11">
        <v>46443.0</v>
      </c>
      <c r="P18" s="10"/>
      <c r="Q18" s="8">
        <v>0.0</v>
      </c>
      <c r="R18" s="8">
        <v>172575.94</v>
      </c>
      <c r="S18" s="8">
        <v>1662036.05</v>
      </c>
      <c r="T18" s="8">
        <v>0.0</v>
      </c>
      <c r="U18" s="8">
        <v>0.0</v>
      </c>
      <c r="V18" s="8">
        <v>0.0</v>
      </c>
      <c r="W18" s="8">
        <v>0.0</v>
      </c>
      <c r="X18" s="8">
        <v>0.0</v>
      </c>
      <c r="Y18" s="8">
        <v>0.0</v>
      </c>
      <c r="Z18" s="8">
        <v>0.0</v>
      </c>
      <c r="AA18" s="8">
        <v>0.0</v>
      </c>
      <c r="AB18" s="8">
        <v>0.0</v>
      </c>
      <c r="AC18" s="8">
        <v>1834611.99</v>
      </c>
      <c r="AD18" s="3" t="s">
        <v>36</v>
      </c>
      <c r="AE18" s="10"/>
      <c r="AF18" s="3">
        <v>0.0</v>
      </c>
      <c r="AG18" s="8">
        <v>12.73</v>
      </c>
      <c r="AH18" s="8">
        <v>18.58</v>
      </c>
    </row>
    <row r="19">
      <c r="A19" s="3">
        <v>18.0</v>
      </c>
      <c r="B19" s="8">
        <v>1834611.99</v>
      </c>
      <c r="C19" s="8">
        <v>1834611.99</v>
      </c>
      <c r="D19" s="8">
        <v>174406.68</v>
      </c>
      <c r="E19" s="8">
        <v>1660205.31</v>
      </c>
      <c r="F19" s="8">
        <v>0.0</v>
      </c>
      <c r="G19" s="8">
        <v>0.0</v>
      </c>
      <c r="H19" s="8">
        <v>0.0</v>
      </c>
      <c r="I19" s="8">
        <v>1.5632570169E8</v>
      </c>
      <c r="J19" s="8">
        <v>1.5632570169E8</v>
      </c>
      <c r="K19" s="8">
        <v>0.0</v>
      </c>
      <c r="L19" s="8">
        <v>0.0</v>
      </c>
      <c r="M19" s="8">
        <v>0.0</v>
      </c>
      <c r="N19" s="8">
        <v>0.0</v>
      </c>
      <c r="O19" s="11">
        <v>46471.0</v>
      </c>
      <c r="P19" s="10"/>
      <c r="Q19" s="8">
        <v>0.0</v>
      </c>
      <c r="R19" s="8">
        <v>174406.68</v>
      </c>
      <c r="S19" s="8">
        <v>1660205.31</v>
      </c>
      <c r="T19" s="8">
        <v>0.0</v>
      </c>
      <c r="U19" s="8">
        <v>0.0</v>
      </c>
      <c r="V19" s="8">
        <v>0.0</v>
      </c>
      <c r="W19" s="8">
        <v>0.0</v>
      </c>
      <c r="X19" s="8">
        <v>0.0</v>
      </c>
      <c r="Y19" s="8">
        <v>0.0</v>
      </c>
      <c r="Z19" s="8">
        <v>0.0</v>
      </c>
      <c r="AA19" s="8">
        <v>0.0</v>
      </c>
      <c r="AB19" s="8">
        <v>0.0</v>
      </c>
      <c r="AC19" s="8">
        <v>1834611.99</v>
      </c>
      <c r="AD19" s="3" t="s">
        <v>36</v>
      </c>
      <c r="AE19" s="10"/>
      <c r="AF19" s="3">
        <v>0.0</v>
      </c>
      <c r="AG19" s="8">
        <v>12.73</v>
      </c>
      <c r="AH19" s="8">
        <v>18.58</v>
      </c>
    </row>
    <row r="20">
      <c r="A20" s="3">
        <v>19.0</v>
      </c>
      <c r="B20" s="8">
        <v>1834611.99</v>
      </c>
      <c r="C20" s="8">
        <v>1834611.99</v>
      </c>
      <c r="D20" s="8">
        <v>176256.84</v>
      </c>
      <c r="E20" s="8">
        <v>1658355.15</v>
      </c>
      <c r="F20" s="8">
        <v>0.0</v>
      </c>
      <c r="G20" s="8">
        <v>0.0</v>
      </c>
      <c r="H20" s="8">
        <v>0.0</v>
      </c>
      <c r="I20" s="8">
        <v>1.5614944485E8</v>
      </c>
      <c r="J20" s="8">
        <v>1.5614944485E8</v>
      </c>
      <c r="K20" s="8">
        <v>0.0</v>
      </c>
      <c r="L20" s="8">
        <v>0.0</v>
      </c>
      <c r="M20" s="8">
        <v>0.0</v>
      </c>
      <c r="N20" s="8">
        <v>0.0</v>
      </c>
      <c r="O20" s="11">
        <v>46502.0</v>
      </c>
      <c r="P20" s="10"/>
      <c r="Q20" s="8">
        <v>0.0</v>
      </c>
      <c r="R20" s="8">
        <v>176256.84</v>
      </c>
      <c r="S20" s="8">
        <v>1658355.15</v>
      </c>
      <c r="T20" s="8">
        <v>0.0</v>
      </c>
      <c r="U20" s="8">
        <v>0.0</v>
      </c>
      <c r="V20" s="8">
        <v>0.0</v>
      </c>
      <c r="W20" s="8">
        <v>0.0</v>
      </c>
      <c r="X20" s="8">
        <v>0.0</v>
      </c>
      <c r="Y20" s="8">
        <v>0.0</v>
      </c>
      <c r="Z20" s="8">
        <v>0.0</v>
      </c>
      <c r="AA20" s="8">
        <v>0.0</v>
      </c>
      <c r="AB20" s="8">
        <v>0.0</v>
      </c>
      <c r="AC20" s="8">
        <v>1834611.99</v>
      </c>
      <c r="AD20" s="3" t="s">
        <v>36</v>
      </c>
      <c r="AE20" s="10"/>
      <c r="AF20" s="3">
        <v>0.0</v>
      </c>
      <c r="AG20" s="8">
        <v>12.73</v>
      </c>
      <c r="AH20" s="8">
        <v>18.58</v>
      </c>
    </row>
    <row r="21">
      <c r="A21" s="3">
        <v>20.0</v>
      </c>
      <c r="B21" s="8">
        <v>1834611.99</v>
      </c>
      <c r="C21" s="8">
        <v>1834611.99</v>
      </c>
      <c r="D21" s="8">
        <v>178126.63</v>
      </c>
      <c r="E21" s="8">
        <v>1656485.36</v>
      </c>
      <c r="F21" s="8">
        <v>0.0</v>
      </c>
      <c r="G21" s="8">
        <v>0.0</v>
      </c>
      <c r="H21" s="8">
        <v>0.0</v>
      </c>
      <c r="I21" s="8">
        <v>1.5597131822E8</v>
      </c>
      <c r="J21" s="8">
        <v>1.5597131822E8</v>
      </c>
      <c r="K21" s="8">
        <v>0.0</v>
      </c>
      <c r="L21" s="8">
        <v>0.0</v>
      </c>
      <c r="M21" s="8">
        <v>0.0</v>
      </c>
      <c r="N21" s="8">
        <v>0.0</v>
      </c>
      <c r="O21" s="11">
        <v>46532.0</v>
      </c>
      <c r="P21" s="10"/>
      <c r="Q21" s="8">
        <v>0.0</v>
      </c>
      <c r="R21" s="8">
        <v>178126.63</v>
      </c>
      <c r="S21" s="8">
        <v>1656485.36</v>
      </c>
      <c r="T21" s="8">
        <v>0.0</v>
      </c>
      <c r="U21" s="8">
        <v>0.0</v>
      </c>
      <c r="V21" s="8">
        <v>0.0</v>
      </c>
      <c r="W21" s="8">
        <v>0.0</v>
      </c>
      <c r="X21" s="8">
        <v>0.0</v>
      </c>
      <c r="Y21" s="8">
        <v>0.0</v>
      </c>
      <c r="Z21" s="8">
        <v>0.0</v>
      </c>
      <c r="AA21" s="8">
        <v>0.0</v>
      </c>
      <c r="AB21" s="8">
        <v>0.0</v>
      </c>
      <c r="AC21" s="8">
        <v>1834611.99</v>
      </c>
      <c r="AD21" s="3" t="s">
        <v>36</v>
      </c>
      <c r="AE21" s="10"/>
      <c r="AF21" s="3">
        <v>0.0</v>
      </c>
      <c r="AG21" s="8">
        <v>12.73</v>
      </c>
      <c r="AH21" s="8">
        <v>18.58</v>
      </c>
    </row>
    <row r="22">
      <c r="A22" s="3">
        <v>21.0</v>
      </c>
      <c r="B22" s="8">
        <v>1834611.99</v>
      </c>
      <c r="C22" s="8">
        <v>1834611.99</v>
      </c>
      <c r="D22" s="8">
        <v>180016.26</v>
      </c>
      <c r="E22" s="8">
        <v>1654595.73</v>
      </c>
      <c r="F22" s="8">
        <v>0.0</v>
      </c>
      <c r="G22" s="8">
        <v>0.0</v>
      </c>
      <c r="H22" s="8">
        <v>0.0</v>
      </c>
      <c r="I22" s="8">
        <v>1.5579130196E8</v>
      </c>
      <c r="J22" s="8">
        <v>1.5579130196E8</v>
      </c>
      <c r="K22" s="8">
        <v>0.0</v>
      </c>
      <c r="L22" s="8">
        <v>0.0</v>
      </c>
      <c r="M22" s="8">
        <v>0.0</v>
      </c>
      <c r="N22" s="8">
        <v>0.0</v>
      </c>
      <c r="O22" s="11">
        <v>46563.0</v>
      </c>
      <c r="P22" s="10"/>
      <c r="Q22" s="8">
        <v>0.0</v>
      </c>
      <c r="R22" s="8">
        <v>180016.26</v>
      </c>
      <c r="S22" s="8">
        <v>1654595.73</v>
      </c>
      <c r="T22" s="8">
        <v>0.0</v>
      </c>
      <c r="U22" s="8">
        <v>0.0</v>
      </c>
      <c r="V22" s="8">
        <v>0.0</v>
      </c>
      <c r="W22" s="8">
        <v>0.0</v>
      </c>
      <c r="X22" s="8">
        <v>0.0</v>
      </c>
      <c r="Y22" s="8">
        <v>0.0</v>
      </c>
      <c r="Z22" s="8">
        <v>0.0</v>
      </c>
      <c r="AA22" s="8">
        <v>0.0</v>
      </c>
      <c r="AB22" s="8">
        <v>0.0</v>
      </c>
      <c r="AC22" s="8">
        <v>1834611.99</v>
      </c>
      <c r="AD22" s="3" t="s">
        <v>36</v>
      </c>
      <c r="AE22" s="10"/>
      <c r="AF22" s="3">
        <v>0.0</v>
      </c>
      <c r="AG22" s="8">
        <v>12.73</v>
      </c>
      <c r="AH22" s="8">
        <v>18.58</v>
      </c>
    </row>
    <row r="23">
      <c r="A23" s="3">
        <v>22.0</v>
      </c>
      <c r="B23" s="8">
        <v>1834611.99</v>
      </c>
      <c r="C23" s="8">
        <v>1834611.99</v>
      </c>
      <c r="D23" s="8">
        <v>181925.93</v>
      </c>
      <c r="E23" s="8">
        <v>1652686.06</v>
      </c>
      <c r="F23" s="8">
        <v>0.0</v>
      </c>
      <c r="G23" s="8">
        <v>0.0</v>
      </c>
      <c r="H23" s="8">
        <v>0.0</v>
      </c>
      <c r="I23" s="8">
        <v>1.5560937603E8</v>
      </c>
      <c r="J23" s="8">
        <v>1.5560937603E8</v>
      </c>
      <c r="K23" s="8">
        <v>0.0</v>
      </c>
      <c r="L23" s="8">
        <v>0.0</v>
      </c>
      <c r="M23" s="8">
        <v>0.0</v>
      </c>
      <c r="N23" s="8">
        <v>0.0</v>
      </c>
      <c r="O23" s="11">
        <v>46593.0</v>
      </c>
      <c r="P23" s="10"/>
      <c r="Q23" s="8">
        <v>0.0</v>
      </c>
      <c r="R23" s="8">
        <v>181925.93</v>
      </c>
      <c r="S23" s="8">
        <v>1652686.06</v>
      </c>
      <c r="T23" s="8">
        <v>0.0</v>
      </c>
      <c r="U23" s="8">
        <v>0.0</v>
      </c>
      <c r="V23" s="8">
        <v>0.0</v>
      </c>
      <c r="W23" s="8">
        <v>0.0</v>
      </c>
      <c r="X23" s="8">
        <v>0.0</v>
      </c>
      <c r="Y23" s="8">
        <v>0.0</v>
      </c>
      <c r="Z23" s="8">
        <v>0.0</v>
      </c>
      <c r="AA23" s="8">
        <v>0.0</v>
      </c>
      <c r="AB23" s="8">
        <v>0.0</v>
      </c>
      <c r="AC23" s="8">
        <v>1834611.99</v>
      </c>
      <c r="AD23" s="3" t="s">
        <v>36</v>
      </c>
      <c r="AE23" s="10"/>
      <c r="AF23" s="3">
        <v>0.0</v>
      </c>
      <c r="AG23" s="8">
        <v>12.73</v>
      </c>
      <c r="AH23" s="8">
        <v>18.58</v>
      </c>
    </row>
    <row r="24">
      <c r="A24" s="3">
        <v>23.0</v>
      </c>
      <c r="B24" s="8">
        <v>1834611.99</v>
      </c>
      <c r="C24" s="8">
        <v>1834611.99</v>
      </c>
      <c r="D24" s="8">
        <v>183855.86</v>
      </c>
      <c r="E24" s="8">
        <v>1650756.13</v>
      </c>
      <c r="F24" s="8">
        <v>0.0</v>
      </c>
      <c r="G24" s="8">
        <v>0.0</v>
      </c>
      <c r="H24" s="8">
        <v>0.0</v>
      </c>
      <c r="I24" s="8">
        <v>1.5542552017E8</v>
      </c>
      <c r="J24" s="8">
        <v>1.5542552017E8</v>
      </c>
      <c r="K24" s="8">
        <v>0.0</v>
      </c>
      <c r="L24" s="8">
        <v>0.0</v>
      </c>
      <c r="M24" s="8">
        <v>0.0</v>
      </c>
      <c r="N24" s="8">
        <v>0.0</v>
      </c>
      <c r="O24" s="11">
        <v>46624.0</v>
      </c>
      <c r="P24" s="10"/>
      <c r="Q24" s="8">
        <v>0.0</v>
      </c>
      <c r="R24" s="8">
        <v>183855.86</v>
      </c>
      <c r="S24" s="8">
        <v>1650756.13</v>
      </c>
      <c r="T24" s="8">
        <v>0.0</v>
      </c>
      <c r="U24" s="8">
        <v>0.0</v>
      </c>
      <c r="V24" s="8">
        <v>0.0</v>
      </c>
      <c r="W24" s="8">
        <v>0.0</v>
      </c>
      <c r="X24" s="8">
        <v>0.0</v>
      </c>
      <c r="Y24" s="8">
        <v>0.0</v>
      </c>
      <c r="Z24" s="8">
        <v>0.0</v>
      </c>
      <c r="AA24" s="8">
        <v>0.0</v>
      </c>
      <c r="AB24" s="8">
        <v>0.0</v>
      </c>
      <c r="AC24" s="8">
        <v>1834611.99</v>
      </c>
      <c r="AD24" s="3" t="s">
        <v>36</v>
      </c>
      <c r="AE24" s="10"/>
      <c r="AF24" s="3">
        <v>0.0</v>
      </c>
      <c r="AG24" s="8">
        <v>12.73</v>
      </c>
      <c r="AH24" s="8">
        <v>18.58</v>
      </c>
    </row>
    <row r="25">
      <c r="A25" s="3">
        <v>24.0</v>
      </c>
      <c r="B25" s="8">
        <v>1834611.99</v>
      </c>
      <c r="C25" s="8">
        <v>1834611.99</v>
      </c>
      <c r="D25" s="8">
        <v>185806.27</v>
      </c>
      <c r="E25" s="8">
        <v>1648805.72</v>
      </c>
      <c r="F25" s="8">
        <v>0.0</v>
      </c>
      <c r="G25" s="8">
        <v>0.0</v>
      </c>
      <c r="H25" s="8">
        <v>0.0</v>
      </c>
      <c r="I25" s="8">
        <v>1.552397139E8</v>
      </c>
      <c r="J25" s="8">
        <v>1.552397139E8</v>
      </c>
      <c r="K25" s="8">
        <v>0.0</v>
      </c>
      <c r="L25" s="8">
        <v>0.0</v>
      </c>
      <c r="M25" s="8">
        <v>0.0</v>
      </c>
      <c r="N25" s="8">
        <v>0.0</v>
      </c>
      <c r="O25" s="11">
        <v>46655.0</v>
      </c>
      <c r="P25" s="10"/>
      <c r="Q25" s="8">
        <v>0.0</v>
      </c>
      <c r="R25" s="8">
        <v>185806.27</v>
      </c>
      <c r="S25" s="8">
        <v>1648805.72</v>
      </c>
      <c r="T25" s="8">
        <v>0.0</v>
      </c>
      <c r="U25" s="8">
        <v>0.0</v>
      </c>
      <c r="V25" s="8">
        <v>0.0</v>
      </c>
      <c r="W25" s="8">
        <v>0.0</v>
      </c>
      <c r="X25" s="8">
        <v>0.0</v>
      </c>
      <c r="Y25" s="8">
        <v>0.0</v>
      </c>
      <c r="Z25" s="8">
        <v>0.0</v>
      </c>
      <c r="AA25" s="8">
        <v>0.0</v>
      </c>
      <c r="AB25" s="8">
        <v>0.0</v>
      </c>
      <c r="AC25" s="8">
        <v>1834611.99</v>
      </c>
      <c r="AD25" s="3" t="s">
        <v>36</v>
      </c>
      <c r="AE25" s="10"/>
      <c r="AF25" s="3">
        <v>0.0</v>
      </c>
      <c r="AG25" s="8">
        <v>12.73</v>
      </c>
      <c r="AH25" s="8">
        <v>18.58</v>
      </c>
    </row>
    <row r="26">
      <c r="A26" s="3">
        <v>25.0</v>
      </c>
      <c r="B26" s="8">
        <v>1834611.99</v>
      </c>
      <c r="C26" s="8">
        <v>1834611.99</v>
      </c>
      <c r="D26" s="8">
        <v>187777.36</v>
      </c>
      <c r="E26" s="8">
        <v>1646834.63</v>
      </c>
      <c r="F26" s="8">
        <v>0.0</v>
      </c>
      <c r="G26" s="8">
        <v>0.0</v>
      </c>
      <c r="H26" s="8">
        <v>0.0</v>
      </c>
      <c r="I26" s="8">
        <v>1.5505193654E8</v>
      </c>
      <c r="J26" s="8">
        <v>1.5505193654E8</v>
      </c>
      <c r="K26" s="8">
        <v>0.0</v>
      </c>
      <c r="L26" s="8">
        <v>0.0</v>
      </c>
      <c r="M26" s="8">
        <v>0.0</v>
      </c>
      <c r="N26" s="8">
        <v>0.0</v>
      </c>
      <c r="O26" s="9">
        <v>46685.0</v>
      </c>
      <c r="P26" s="10"/>
      <c r="Q26" s="8">
        <v>0.0</v>
      </c>
      <c r="R26" s="8">
        <v>187777.36</v>
      </c>
      <c r="S26" s="8">
        <v>1646834.63</v>
      </c>
      <c r="T26" s="8">
        <v>0.0</v>
      </c>
      <c r="U26" s="8">
        <v>0.0</v>
      </c>
      <c r="V26" s="8">
        <v>0.0</v>
      </c>
      <c r="W26" s="8">
        <v>0.0</v>
      </c>
      <c r="X26" s="8">
        <v>0.0</v>
      </c>
      <c r="Y26" s="8">
        <v>0.0</v>
      </c>
      <c r="Z26" s="8">
        <v>0.0</v>
      </c>
      <c r="AA26" s="8">
        <v>0.0</v>
      </c>
      <c r="AB26" s="8">
        <v>0.0</v>
      </c>
      <c r="AC26" s="8">
        <v>1834611.99</v>
      </c>
      <c r="AD26" s="3" t="s">
        <v>36</v>
      </c>
      <c r="AE26" s="10"/>
      <c r="AF26" s="3">
        <v>0.0</v>
      </c>
      <c r="AG26" s="8">
        <v>12.73</v>
      </c>
      <c r="AH26" s="8">
        <v>18.58</v>
      </c>
    </row>
    <row r="27">
      <c r="A27" s="3">
        <v>26.0</v>
      </c>
      <c r="B27" s="8">
        <v>1834611.99</v>
      </c>
      <c r="C27" s="8">
        <v>1834611.99</v>
      </c>
      <c r="D27" s="8">
        <v>189769.37</v>
      </c>
      <c r="E27" s="8">
        <v>1644842.62</v>
      </c>
      <c r="F27" s="8">
        <v>0.0</v>
      </c>
      <c r="G27" s="8">
        <v>0.0</v>
      </c>
      <c r="H27" s="8">
        <v>0.0</v>
      </c>
      <c r="I27" s="8">
        <v>1.5486216717E8</v>
      </c>
      <c r="J27" s="8">
        <v>1.5486216717E8</v>
      </c>
      <c r="K27" s="8">
        <v>0.0</v>
      </c>
      <c r="L27" s="8">
        <v>0.0</v>
      </c>
      <c r="M27" s="8">
        <v>0.0</v>
      </c>
      <c r="N27" s="8">
        <v>0.0</v>
      </c>
      <c r="O27" s="9">
        <v>46716.0</v>
      </c>
      <c r="P27" s="10"/>
      <c r="Q27" s="8">
        <v>0.0</v>
      </c>
      <c r="R27" s="8">
        <v>189769.37</v>
      </c>
      <c r="S27" s="8">
        <v>1644842.62</v>
      </c>
      <c r="T27" s="8">
        <v>0.0</v>
      </c>
      <c r="U27" s="8">
        <v>0.0</v>
      </c>
      <c r="V27" s="8">
        <v>0.0</v>
      </c>
      <c r="W27" s="8">
        <v>0.0</v>
      </c>
      <c r="X27" s="8">
        <v>0.0</v>
      </c>
      <c r="Y27" s="8">
        <v>0.0</v>
      </c>
      <c r="Z27" s="8">
        <v>0.0</v>
      </c>
      <c r="AA27" s="8">
        <v>0.0</v>
      </c>
      <c r="AB27" s="8">
        <v>0.0</v>
      </c>
      <c r="AC27" s="8">
        <v>1834611.99</v>
      </c>
      <c r="AD27" s="3" t="s">
        <v>36</v>
      </c>
      <c r="AE27" s="10"/>
      <c r="AF27" s="3">
        <v>0.0</v>
      </c>
      <c r="AG27" s="8">
        <v>12.73</v>
      </c>
      <c r="AH27" s="8">
        <v>18.58</v>
      </c>
    </row>
    <row r="28">
      <c r="A28" s="3">
        <v>27.0</v>
      </c>
      <c r="B28" s="8">
        <v>1834611.99</v>
      </c>
      <c r="C28" s="8">
        <v>1834611.99</v>
      </c>
      <c r="D28" s="8">
        <v>191782.5</v>
      </c>
      <c r="E28" s="8">
        <v>1642829.49</v>
      </c>
      <c r="F28" s="8">
        <v>0.0</v>
      </c>
      <c r="G28" s="8">
        <v>0.0</v>
      </c>
      <c r="H28" s="8">
        <v>0.0</v>
      </c>
      <c r="I28" s="8">
        <v>1.5467038467E8</v>
      </c>
      <c r="J28" s="8">
        <v>1.5467038467E8</v>
      </c>
      <c r="K28" s="8">
        <v>0.0</v>
      </c>
      <c r="L28" s="8">
        <v>0.0</v>
      </c>
      <c r="M28" s="8">
        <v>0.0</v>
      </c>
      <c r="N28" s="8">
        <v>0.0</v>
      </c>
      <c r="O28" s="9">
        <v>46746.0</v>
      </c>
      <c r="P28" s="10"/>
      <c r="Q28" s="8">
        <v>0.0</v>
      </c>
      <c r="R28" s="8">
        <v>191782.5</v>
      </c>
      <c r="S28" s="8">
        <v>1642829.49</v>
      </c>
      <c r="T28" s="8">
        <v>0.0</v>
      </c>
      <c r="U28" s="8">
        <v>0.0</v>
      </c>
      <c r="V28" s="8">
        <v>0.0</v>
      </c>
      <c r="W28" s="8">
        <v>0.0</v>
      </c>
      <c r="X28" s="8">
        <v>0.0</v>
      </c>
      <c r="Y28" s="8">
        <v>0.0</v>
      </c>
      <c r="Z28" s="8">
        <v>0.0</v>
      </c>
      <c r="AA28" s="8">
        <v>0.0</v>
      </c>
      <c r="AB28" s="8">
        <v>0.0</v>
      </c>
      <c r="AC28" s="8">
        <v>1834611.99</v>
      </c>
      <c r="AD28" s="3" t="s">
        <v>36</v>
      </c>
      <c r="AE28" s="10"/>
      <c r="AF28" s="3">
        <v>0.0</v>
      </c>
      <c r="AG28" s="8">
        <v>12.73</v>
      </c>
      <c r="AH28" s="8">
        <v>18.58</v>
      </c>
    </row>
    <row r="29">
      <c r="A29" s="3">
        <v>28.0</v>
      </c>
      <c r="B29" s="8">
        <v>1834611.99</v>
      </c>
      <c r="C29" s="8">
        <v>1834611.99</v>
      </c>
      <c r="D29" s="8">
        <v>193817.0</v>
      </c>
      <c r="E29" s="8">
        <v>1640794.99</v>
      </c>
      <c r="F29" s="8">
        <v>0.0</v>
      </c>
      <c r="G29" s="8">
        <v>0.0</v>
      </c>
      <c r="H29" s="8">
        <v>0.0</v>
      </c>
      <c r="I29" s="8">
        <v>1.5447656767E8</v>
      </c>
      <c r="J29" s="8">
        <v>1.5447656767E8</v>
      </c>
      <c r="K29" s="8">
        <v>0.0</v>
      </c>
      <c r="L29" s="8">
        <v>0.0</v>
      </c>
      <c r="M29" s="8">
        <v>0.0</v>
      </c>
      <c r="N29" s="8">
        <v>0.0</v>
      </c>
      <c r="O29" s="11">
        <v>46777.0</v>
      </c>
      <c r="P29" s="10"/>
      <c r="Q29" s="8">
        <v>0.0</v>
      </c>
      <c r="R29" s="8">
        <v>193817.0</v>
      </c>
      <c r="S29" s="8">
        <v>1640794.99</v>
      </c>
      <c r="T29" s="8">
        <v>0.0</v>
      </c>
      <c r="U29" s="8">
        <v>0.0</v>
      </c>
      <c r="V29" s="8">
        <v>0.0</v>
      </c>
      <c r="W29" s="8">
        <v>0.0</v>
      </c>
      <c r="X29" s="8">
        <v>0.0</v>
      </c>
      <c r="Y29" s="8">
        <v>0.0</v>
      </c>
      <c r="Z29" s="8">
        <v>0.0</v>
      </c>
      <c r="AA29" s="8">
        <v>0.0</v>
      </c>
      <c r="AB29" s="8">
        <v>0.0</v>
      </c>
      <c r="AC29" s="8">
        <v>1834611.99</v>
      </c>
      <c r="AD29" s="3" t="s">
        <v>36</v>
      </c>
      <c r="AE29" s="10"/>
      <c r="AF29" s="3">
        <v>0.0</v>
      </c>
      <c r="AG29" s="8">
        <v>12.73</v>
      </c>
      <c r="AH29" s="8">
        <v>18.58</v>
      </c>
    </row>
    <row r="30">
      <c r="A30" s="3">
        <v>29.0</v>
      </c>
      <c r="B30" s="8">
        <v>1834611.99</v>
      </c>
      <c r="C30" s="8">
        <v>1834611.99</v>
      </c>
      <c r="D30" s="8">
        <v>195873.07</v>
      </c>
      <c r="E30" s="8">
        <v>1638738.92</v>
      </c>
      <c r="F30" s="8">
        <v>0.0</v>
      </c>
      <c r="G30" s="8">
        <v>0.0</v>
      </c>
      <c r="H30" s="8">
        <v>0.0</v>
      </c>
      <c r="I30" s="8">
        <v>1.542806946E8</v>
      </c>
      <c r="J30" s="8">
        <v>1.542806946E8</v>
      </c>
      <c r="K30" s="8">
        <v>0.0</v>
      </c>
      <c r="L30" s="8">
        <v>0.0</v>
      </c>
      <c r="M30" s="8">
        <v>0.0</v>
      </c>
      <c r="N30" s="8">
        <v>0.0</v>
      </c>
      <c r="O30" s="11">
        <v>46808.0</v>
      </c>
      <c r="P30" s="10"/>
      <c r="Q30" s="8">
        <v>0.0</v>
      </c>
      <c r="R30" s="8">
        <v>195873.07</v>
      </c>
      <c r="S30" s="8">
        <v>1638738.92</v>
      </c>
      <c r="T30" s="8">
        <v>0.0</v>
      </c>
      <c r="U30" s="8">
        <v>0.0</v>
      </c>
      <c r="V30" s="8">
        <v>0.0</v>
      </c>
      <c r="W30" s="8">
        <v>0.0</v>
      </c>
      <c r="X30" s="8">
        <v>0.0</v>
      </c>
      <c r="Y30" s="8">
        <v>0.0</v>
      </c>
      <c r="Z30" s="8">
        <v>0.0</v>
      </c>
      <c r="AA30" s="8">
        <v>0.0</v>
      </c>
      <c r="AB30" s="8">
        <v>0.0</v>
      </c>
      <c r="AC30" s="8">
        <v>1834611.99</v>
      </c>
      <c r="AD30" s="3" t="s">
        <v>36</v>
      </c>
      <c r="AE30" s="10"/>
      <c r="AF30" s="3">
        <v>0.0</v>
      </c>
      <c r="AG30" s="8">
        <v>12.73</v>
      </c>
      <c r="AH30" s="8">
        <v>18.58</v>
      </c>
    </row>
    <row r="31">
      <c r="A31" s="3">
        <v>30.0</v>
      </c>
      <c r="B31" s="8">
        <v>1834611.99</v>
      </c>
      <c r="C31" s="8">
        <v>1834611.99</v>
      </c>
      <c r="D31" s="8">
        <v>197950.96</v>
      </c>
      <c r="E31" s="8">
        <v>1636661.03</v>
      </c>
      <c r="F31" s="8">
        <v>0.0</v>
      </c>
      <c r="G31" s="8">
        <v>0.0</v>
      </c>
      <c r="H31" s="8">
        <v>0.0</v>
      </c>
      <c r="I31" s="8">
        <v>1.5408274364E8</v>
      </c>
      <c r="J31" s="8">
        <v>1.5408274364E8</v>
      </c>
      <c r="K31" s="8">
        <v>0.0</v>
      </c>
      <c r="L31" s="8">
        <v>0.0</v>
      </c>
      <c r="M31" s="8">
        <v>0.0</v>
      </c>
      <c r="N31" s="8">
        <v>0.0</v>
      </c>
      <c r="O31" s="11">
        <v>46837.0</v>
      </c>
      <c r="P31" s="10"/>
      <c r="Q31" s="8">
        <v>0.0</v>
      </c>
      <c r="R31" s="8">
        <v>197950.96</v>
      </c>
      <c r="S31" s="8">
        <v>1636661.03</v>
      </c>
      <c r="T31" s="8">
        <v>0.0</v>
      </c>
      <c r="U31" s="8">
        <v>0.0</v>
      </c>
      <c r="V31" s="8">
        <v>0.0</v>
      </c>
      <c r="W31" s="8">
        <v>0.0</v>
      </c>
      <c r="X31" s="8">
        <v>0.0</v>
      </c>
      <c r="Y31" s="8">
        <v>0.0</v>
      </c>
      <c r="Z31" s="8">
        <v>0.0</v>
      </c>
      <c r="AA31" s="8">
        <v>0.0</v>
      </c>
      <c r="AB31" s="8">
        <v>0.0</v>
      </c>
      <c r="AC31" s="8">
        <v>1834611.99</v>
      </c>
      <c r="AD31" s="3" t="s">
        <v>36</v>
      </c>
      <c r="AE31" s="10"/>
      <c r="AF31" s="3">
        <v>0.0</v>
      </c>
      <c r="AG31" s="8">
        <v>12.73</v>
      </c>
      <c r="AH31" s="8">
        <v>18.58</v>
      </c>
    </row>
    <row r="32">
      <c r="A32" s="3">
        <v>31.0</v>
      </c>
      <c r="B32" s="8">
        <v>1834611.99</v>
      </c>
      <c r="C32" s="8">
        <v>1834611.99</v>
      </c>
      <c r="D32" s="8">
        <v>200050.89</v>
      </c>
      <c r="E32" s="8">
        <v>1634561.1</v>
      </c>
      <c r="F32" s="8">
        <v>0.0</v>
      </c>
      <c r="G32" s="8">
        <v>0.0</v>
      </c>
      <c r="H32" s="8">
        <v>0.0</v>
      </c>
      <c r="I32" s="8">
        <v>1.5388269275E8</v>
      </c>
      <c r="J32" s="8">
        <v>1.5388269275E8</v>
      </c>
      <c r="K32" s="8">
        <v>0.0</v>
      </c>
      <c r="L32" s="8">
        <v>0.0</v>
      </c>
      <c r="M32" s="8">
        <v>0.0</v>
      </c>
      <c r="N32" s="8">
        <v>0.0</v>
      </c>
      <c r="O32" s="11">
        <v>46868.0</v>
      </c>
      <c r="P32" s="10"/>
      <c r="Q32" s="8">
        <v>0.0</v>
      </c>
      <c r="R32" s="8">
        <v>200050.89</v>
      </c>
      <c r="S32" s="8">
        <v>1634561.1</v>
      </c>
      <c r="T32" s="8">
        <v>0.0</v>
      </c>
      <c r="U32" s="8">
        <v>0.0</v>
      </c>
      <c r="V32" s="8">
        <v>0.0</v>
      </c>
      <c r="W32" s="8">
        <v>0.0</v>
      </c>
      <c r="X32" s="8">
        <v>0.0</v>
      </c>
      <c r="Y32" s="8">
        <v>0.0</v>
      </c>
      <c r="Z32" s="8">
        <v>0.0</v>
      </c>
      <c r="AA32" s="8">
        <v>0.0</v>
      </c>
      <c r="AB32" s="8">
        <v>0.0</v>
      </c>
      <c r="AC32" s="8">
        <v>1834611.99</v>
      </c>
      <c r="AD32" s="3" t="s">
        <v>36</v>
      </c>
      <c r="AE32" s="10"/>
      <c r="AF32" s="3">
        <v>0.0</v>
      </c>
      <c r="AG32" s="8">
        <v>12.73</v>
      </c>
      <c r="AH32" s="8">
        <v>18.58</v>
      </c>
    </row>
    <row r="33">
      <c r="A33" s="3">
        <v>32.0</v>
      </c>
      <c r="B33" s="8">
        <v>1834611.99</v>
      </c>
      <c r="C33" s="8">
        <v>1834611.99</v>
      </c>
      <c r="D33" s="8">
        <v>202173.1</v>
      </c>
      <c r="E33" s="8">
        <v>1632438.89</v>
      </c>
      <c r="F33" s="8">
        <v>0.0</v>
      </c>
      <c r="G33" s="8">
        <v>0.0</v>
      </c>
      <c r="H33" s="8">
        <v>0.0</v>
      </c>
      <c r="I33" s="8">
        <v>1.5368051965E8</v>
      </c>
      <c r="J33" s="8">
        <v>1.5368051965E8</v>
      </c>
      <c r="K33" s="8">
        <v>0.0</v>
      </c>
      <c r="L33" s="8">
        <v>0.0</v>
      </c>
      <c r="M33" s="8">
        <v>0.0</v>
      </c>
      <c r="N33" s="8">
        <v>0.0</v>
      </c>
      <c r="O33" s="11">
        <v>46898.0</v>
      </c>
      <c r="P33" s="10"/>
      <c r="Q33" s="8">
        <v>0.0</v>
      </c>
      <c r="R33" s="8">
        <v>202173.1</v>
      </c>
      <c r="S33" s="8">
        <v>1632438.89</v>
      </c>
      <c r="T33" s="8">
        <v>0.0</v>
      </c>
      <c r="U33" s="8">
        <v>0.0</v>
      </c>
      <c r="V33" s="8">
        <v>0.0</v>
      </c>
      <c r="W33" s="8">
        <v>0.0</v>
      </c>
      <c r="X33" s="8">
        <v>0.0</v>
      </c>
      <c r="Y33" s="8">
        <v>0.0</v>
      </c>
      <c r="Z33" s="8">
        <v>0.0</v>
      </c>
      <c r="AA33" s="8">
        <v>0.0</v>
      </c>
      <c r="AB33" s="8">
        <v>0.0</v>
      </c>
      <c r="AC33" s="8">
        <v>1834611.99</v>
      </c>
      <c r="AD33" s="3" t="s">
        <v>36</v>
      </c>
      <c r="AE33" s="10"/>
      <c r="AF33" s="3">
        <v>0.0</v>
      </c>
      <c r="AG33" s="8">
        <v>12.73</v>
      </c>
      <c r="AH33" s="8">
        <v>18.58</v>
      </c>
    </row>
    <row r="34">
      <c r="A34" s="3">
        <v>33.0</v>
      </c>
      <c r="B34" s="8">
        <v>1834611.99</v>
      </c>
      <c r="C34" s="8">
        <v>1834611.99</v>
      </c>
      <c r="D34" s="8">
        <v>204317.82</v>
      </c>
      <c r="E34" s="8">
        <v>1630294.17</v>
      </c>
      <c r="F34" s="8">
        <v>0.0</v>
      </c>
      <c r="G34" s="8">
        <v>0.0</v>
      </c>
      <c r="H34" s="8">
        <v>0.0</v>
      </c>
      <c r="I34" s="8">
        <v>1.5347620183E8</v>
      </c>
      <c r="J34" s="8">
        <v>1.5347620183E8</v>
      </c>
      <c r="K34" s="8">
        <v>0.0</v>
      </c>
      <c r="L34" s="8">
        <v>0.0</v>
      </c>
      <c r="M34" s="8">
        <v>0.0</v>
      </c>
      <c r="N34" s="8">
        <v>0.0</v>
      </c>
      <c r="O34" s="11">
        <v>46929.0</v>
      </c>
      <c r="P34" s="10"/>
      <c r="Q34" s="8">
        <v>0.0</v>
      </c>
      <c r="R34" s="8">
        <v>204317.82</v>
      </c>
      <c r="S34" s="8">
        <v>1630294.17</v>
      </c>
      <c r="T34" s="8">
        <v>0.0</v>
      </c>
      <c r="U34" s="8">
        <v>0.0</v>
      </c>
      <c r="V34" s="8">
        <v>0.0</v>
      </c>
      <c r="W34" s="8">
        <v>0.0</v>
      </c>
      <c r="X34" s="8">
        <v>0.0</v>
      </c>
      <c r="Y34" s="8">
        <v>0.0</v>
      </c>
      <c r="Z34" s="8">
        <v>0.0</v>
      </c>
      <c r="AA34" s="8">
        <v>0.0</v>
      </c>
      <c r="AB34" s="8">
        <v>0.0</v>
      </c>
      <c r="AC34" s="8">
        <v>1834611.99</v>
      </c>
      <c r="AD34" s="3" t="s">
        <v>36</v>
      </c>
      <c r="AE34" s="10"/>
      <c r="AF34" s="3">
        <v>0.0</v>
      </c>
      <c r="AG34" s="8">
        <v>12.73</v>
      </c>
      <c r="AH34" s="8">
        <v>18.58</v>
      </c>
    </row>
    <row r="35">
      <c r="A35" s="3">
        <v>34.0</v>
      </c>
      <c r="B35" s="8">
        <v>1834611.99</v>
      </c>
      <c r="C35" s="8">
        <v>1834611.99</v>
      </c>
      <c r="D35" s="8">
        <v>206485.29</v>
      </c>
      <c r="E35" s="8">
        <v>1628126.7</v>
      </c>
      <c r="F35" s="8">
        <v>0.0</v>
      </c>
      <c r="G35" s="8">
        <v>0.0</v>
      </c>
      <c r="H35" s="8">
        <v>0.0</v>
      </c>
      <c r="I35" s="8">
        <v>1.5326971654E8</v>
      </c>
      <c r="J35" s="8">
        <v>1.5326971654E8</v>
      </c>
      <c r="K35" s="8">
        <v>0.0</v>
      </c>
      <c r="L35" s="8">
        <v>0.0</v>
      </c>
      <c r="M35" s="8">
        <v>0.0</v>
      </c>
      <c r="N35" s="8">
        <v>0.0</v>
      </c>
      <c r="O35" s="11">
        <v>46959.0</v>
      </c>
      <c r="P35" s="10"/>
      <c r="Q35" s="8">
        <v>0.0</v>
      </c>
      <c r="R35" s="8">
        <v>206485.29</v>
      </c>
      <c r="S35" s="8">
        <v>1628126.7</v>
      </c>
      <c r="T35" s="8">
        <v>0.0</v>
      </c>
      <c r="U35" s="8">
        <v>0.0</v>
      </c>
      <c r="V35" s="8">
        <v>0.0</v>
      </c>
      <c r="W35" s="8">
        <v>0.0</v>
      </c>
      <c r="X35" s="8">
        <v>0.0</v>
      </c>
      <c r="Y35" s="8">
        <v>0.0</v>
      </c>
      <c r="Z35" s="8">
        <v>0.0</v>
      </c>
      <c r="AA35" s="8">
        <v>0.0</v>
      </c>
      <c r="AB35" s="8">
        <v>0.0</v>
      </c>
      <c r="AC35" s="8">
        <v>1834611.99</v>
      </c>
      <c r="AD35" s="3" t="s">
        <v>36</v>
      </c>
      <c r="AE35" s="10"/>
      <c r="AF35" s="3">
        <v>0.0</v>
      </c>
      <c r="AG35" s="8">
        <v>12.73</v>
      </c>
      <c r="AH35" s="8">
        <v>18.58</v>
      </c>
    </row>
    <row r="36">
      <c r="A36" s="3">
        <v>35.0</v>
      </c>
      <c r="B36" s="8">
        <v>1834611.99</v>
      </c>
      <c r="C36" s="8">
        <v>1834611.99</v>
      </c>
      <c r="D36" s="8">
        <v>208675.75</v>
      </c>
      <c r="E36" s="8">
        <v>1625936.24</v>
      </c>
      <c r="F36" s="8">
        <v>0.0</v>
      </c>
      <c r="G36" s="8">
        <v>0.0</v>
      </c>
      <c r="H36" s="8">
        <v>0.0</v>
      </c>
      <c r="I36" s="8">
        <v>1.5306104079E8</v>
      </c>
      <c r="J36" s="8">
        <v>1.5306104079E8</v>
      </c>
      <c r="K36" s="8">
        <v>0.0</v>
      </c>
      <c r="L36" s="8">
        <v>0.0</v>
      </c>
      <c r="M36" s="8">
        <v>0.0</v>
      </c>
      <c r="N36" s="8">
        <v>0.0</v>
      </c>
      <c r="O36" s="11">
        <v>46990.0</v>
      </c>
      <c r="P36" s="10"/>
      <c r="Q36" s="8">
        <v>0.0</v>
      </c>
      <c r="R36" s="8">
        <v>208675.75</v>
      </c>
      <c r="S36" s="8">
        <v>1625936.24</v>
      </c>
      <c r="T36" s="8">
        <v>0.0</v>
      </c>
      <c r="U36" s="8">
        <v>0.0</v>
      </c>
      <c r="V36" s="8">
        <v>0.0</v>
      </c>
      <c r="W36" s="8">
        <v>0.0</v>
      </c>
      <c r="X36" s="8">
        <v>0.0</v>
      </c>
      <c r="Y36" s="8">
        <v>0.0</v>
      </c>
      <c r="Z36" s="8">
        <v>0.0</v>
      </c>
      <c r="AA36" s="8">
        <v>0.0</v>
      </c>
      <c r="AB36" s="8">
        <v>0.0</v>
      </c>
      <c r="AC36" s="8">
        <v>1834611.99</v>
      </c>
      <c r="AD36" s="3" t="s">
        <v>36</v>
      </c>
      <c r="AE36" s="10"/>
      <c r="AF36" s="3">
        <v>0.0</v>
      </c>
      <c r="AG36" s="8">
        <v>12.73</v>
      </c>
      <c r="AH36" s="8">
        <v>18.58</v>
      </c>
    </row>
    <row r="37">
      <c r="A37" s="3">
        <v>36.0</v>
      </c>
      <c r="B37" s="8">
        <v>1834611.99</v>
      </c>
      <c r="C37" s="8">
        <v>1834611.99</v>
      </c>
      <c r="D37" s="8">
        <v>210889.45</v>
      </c>
      <c r="E37" s="8">
        <v>1623722.54</v>
      </c>
      <c r="F37" s="8">
        <v>0.0</v>
      </c>
      <c r="G37" s="8">
        <v>0.0</v>
      </c>
      <c r="H37" s="8">
        <v>0.0</v>
      </c>
      <c r="I37" s="8">
        <v>1.5285015134E8</v>
      </c>
      <c r="J37" s="8">
        <v>1.5285015134E8</v>
      </c>
      <c r="K37" s="8">
        <v>0.0</v>
      </c>
      <c r="L37" s="8">
        <v>0.0</v>
      </c>
      <c r="M37" s="8">
        <v>0.0</v>
      </c>
      <c r="N37" s="8">
        <v>0.0</v>
      </c>
      <c r="O37" s="11">
        <v>47021.0</v>
      </c>
      <c r="P37" s="10"/>
      <c r="Q37" s="8">
        <v>0.0</v>
      </c>
      <c r="R37" s="8">
        <v>210889.45</v>
      </c>
      <c r="S37" s="8">
        <v>1623722.54</v>
      </c>
      <c r="T37" s="8">
        <v>0.0</v>
      </c>
      <c r="U37" s="8">
        <v>0.0</v>
      </c>
      <c r="V37" s="8">
        <v>0.0</v>
      </c>
      <c r="W37" s="8">
        <v>0.0</v>
      </c>
      <c r="X37" s="8">
        <v>0.0</v>
      </c>
      <c r="Y37" s="8">
        <v>0.0</v>
      </c>
      <c r="Z37" s="8">
        <v>0.0</v>
      </c>
      <c r="AA37" s="8">
        <v>0.0</v>
      </c>
      <c r="AB37" s="8">
        <v>0.0</v>
      </c>
      <c r="AC37" s="8">
        <v>1834611.99</v>
      </c>
      <c r="AD37" s="3" t="s">
        <v>36</v>
      </c>
      <c r="AE37" s="10"/>
      <c r="AF37" s="3">
        <v>0.0</v>
      </c>
      <c r="AG37" s="8">
        <v>12.73</v>
      </c>
      <c r="AH37" s="8">
        <v>18.58</v>
      </c>
    </row>
    <row r="38">
      <c r="A38" s="3">
        <v>37.0</v>
      </c>
      <c r="B38" s="8">
        <v>1834611.99</v>
      </c>
      <c r="C38" s="8">
        <v>1834611.99</v>
      </c>
      <c r="D38" s="8">
        <v>213126.64</v>
      </c>
      <c r="E38" s="8">
        <v>1621485.35</v>
      </c>
      <c r="F38" s="8">
        <v>0.0</v>
      </c>
      <c r="G38" s="8">
        <v>0.0</v>
      </c>
      <c r="H38" s="8">
        <v>0.0</v>
      </c>
      <c r="I38" s="8">
        <v>1.526370247E8</v>
      </c>
      <c r="J38" s="8">
        <v>1.526370247E8</v>
      </c>
      <c r="K38" s="8">
        <v>0.0</v>
      </c>
      <c r="L38" s="8">
        <v>0.0</v>
      </c>
      <c r="M38" s="8">
        <v>0.0</v>
      </c>
      <c r="N38" s="8">
        <v>0.0</v>
      </c>
      <c r="O38" s="9">
        <v>47051.0</v>
      </c>
      <c r="P38" s="10"/>
      <c r="Q38" s="8">
        <v>0.0</v>
      </c>
      <c r="R38" s="8">
        <v>213126.64</v>
      </c>
      <c r="S38" s="8">
        <v>1621485.35</v>
      </c>
      <c r="T38" s="8">
        <v>0.0</v>
      </c>
      <c r="U38" s="8">
        <v>0.0</v>
      </c>
      <c r="V38" s="8">
        <v>0.0</v>
      </c>
      <c r="W38" s="8">
        <v>0.0</v>
      </c>
      <c r="X38" s="8">
        <v>0.0</v>
      </c>
      <c r="Y38" s="8">
        <v>0.0</v>
      </c>
      <c r="Z38" s="8">
        <v>0.0</v>
      </c>
      <c r="AA38" s="8">
        <v>0.0</v>
      </c>
      <c r="AB38" s="8">
        <v>0.0</v>
      </c>
      <c r="AC38" s="8">
        <v>1834611.99</v>
      </c>
      <c r="AD38" s="3" t="s">
        <v>36</v>
      </c>
      <c r="AE38" s="10"/>
      <c r="AF38" s="3">
        <v>0.0</v>
      </c>
      <c r="AG38" s="8">
        <v>12.73</v>
      </c>
      <c r="AH38" s="8">
        <v>18.58</v>
      </c>
    </row>
    <row r="39">
      <c r="A39" s="3">
        <v>38.0</v>
      </c>
      <c r="B39" s="8">
        <v>1834611.99</v>
      </c>
      <c r="C39" s="8">
        <v>1834611.99</v>
      </c>
      <c r="D39" s="8">
        <v>215387.56</v>
      </c>
      <c r="E39" s="8">
        <v>1619224.43</v>
      </c>
      <c r="F39" s="8">
        <v>0.0</v>
      </c>
      <c r="G39" s="8">
        <v>0.0</v>
      </c>
      <c r="H39" s="8">
        <v>0.0</v>
      </c>
      <c r="I39" s="8">
        <v>1.5242163714E8</v>
      </c>
      <c r="J39" s="8">
        <v>1.5242163714E8</v>
      </c>
      <c r="K39" s="8">
        <v>0.0</v>
      </c>
      <c r="L39" s="8">
        <v>0.0</v>
      </c>
      <c r="M39" s="8">
        <v>0.0</v>
      </c>
      <c r="N39" s="8">
        <v>0.0</v>
      </c>
      <c r="O39" s="9">
        <v>47082.0</v>
      </c>
      <c r="P39" s="10"/>
      <c r="Q39" s="8">
        <v>0.0</v>
      </c>
      <c r="R39" s="8">
        <v>215387.56</v>
      </c>
      <c r="S39" s="8">
        <v>1619224.43</v>
      </c>
      <c r="T39" s="8">
        <v>0.0</v>
      </c>
      <c r="U39" s="8">
        <v>0.0</v>
      </c>
      <c r="V39" s="8">
        <v>0.0</v>
      </c>
      <c r="W39" s="8">
        <v>0.0</v>
      </c>
      <c r="X39" s="8">
        <v>0.0</v>
      </c>
      <c r="Y39" s="8">
        <v>0.0</v>
      </c>
      <c r="Z39" s="8">
        <v>0.0</v>
      </c>
      <c r="AA39" s="8">
        <v>0.0</v>
      </c>
      <c r="AB39" s="8">
        <v>0.0</v>
      </c>
      <c r="AC39" s="8">
        <v>1834611.99</v>
      </c>
      <c r="AD39" s="3" t="s">
        <v>36</v>
      </c>
      <c r="AE39" s="10"/>
      <c r="AF39" s="3">
        <v>0.0</v>
      </c>
      <c r="AG39" s="8">
        <v>12.73</v>
      </c>
      <c r="AH39" s="8">
        <v>18.58</v>
      </c>
    </row>
    <row r="40">
      <c r="A40" s="3">
        <v>39.0</v>
      </c>
      <c r="B40" s="8">
        <v>1834611.99</v>
      </c>
      <c r="C40" s="8">
        <v>1834611.99</v>
      </c>
      <c r="D40" s="8">
        <v>217672.46</v>
      </c>
      <c r="E40" s="8">
        <v>1616939.53</v>
      </c>
      <c r="F40" s="8">
        <v>0.0</v>
      </c>
      <c r="G40" s="8">
        <v>0.0</v>
      </c>
      <c r="H40" s="8">
        <v>0.0</v>
      </c>
      <c r="I40" s="8">
        <v>1.5220396468E8</v>
      </c>
      <c r="J40" s="8">
        <v>1.5220396468E8</v>
      </c>
      <c r="K40" s="8">
        <v>0.0</v>
      </c>
      <c r="L40" s="8">
        <v>0.0</v>
      </c>
      <c r="M40" s="8">
        <v>0.0</v>
      </c>
      <c r="N40" s="8">
        <v>0.0</v>
      </c>
      <c r="O40" s="9">
        <v>47112.0</v>
      </c>
      <c r="P40" s="10"/>
      <c r="Q40" s="8">
        <v>0.0</v>
      </c>
      <c r="R40" s="8">
        <v>217672.46</v>
      </c>
      <c r="S40" s="8">
        <v>1616939.53</v>
      </c>
      <c r="T40" s="8">
        <v>0.0</v>
      </c>
      <c r="U40" s="8">
        <v>0.0</v>
      </c>
      <c r="V40" s="8">
        <v>0.0</v>
      </c>
      <c r="W40" s="8">
        <v>0.0</v>
      </c>
      <c r="X40" s="8">
        <v>0.0</v>
      </c>
      <c r="Y40" s="8">
        <v>0.0</v>
      </c>
      <c r="Z40" s="8">
        <v>0.0</v>
      </c>
      <c r="AA40" s="8">
        <v>0.0</v>
      </c>
      <c r="AB40" s="8">
        <v>0.0</v>
      </c>
      <c r="AC40" s="8">
        <v>1834611.99</v>
      </c>
      <c r="AD40" s="3" t="s">
        <v>36</v>
      </c>
      <c r="AE40" s="10"/>
      <c r="AF40" s="3">
        <v>0.0</v>
      </c>
      <c r="AG40" s="8">
        <v>12.73</v>
      </c>
      <c r="AH40" s="8">
        <v>18.58</v>
      </c>
    </row>
    <row r="41">
      <c r="A41" s="3">
        <v>40.0</v>
      </c>
      <c r="B41" s="8">
        <v>1834611.99</v>
      </c>
      <c r="C41" s="8">
        <v>1834611.99</v>
      </c>
      <c r="D41" s="8">
        <v>219981.6</v>
      </c>
      <c r="E41" s="8">
        <v>1614630.39</v>
      </c>
      <c r="F41" s="8">
        <v>0.0</v>
      </c>
      <c r="G41" s="8">
        <v>0.0</v>
      </c>
      <c r="H41" s="8">
        <v>0.0</v>
      </c>
      <c r="I41" s="8">
        <v>1.5198398308E8</v>
      </c>
      <c r="J41" s="8">
        <v>1.5198398308E8</v>
      </c>
      <c r="K41" s="8">
        <v>0.0</v>
      </c>
      <c r="L41" s="8">
        <v>0.0</v>
      </c>
      <c r="M41" s="8">
        <v>0.0</v>
      </c>
      <c r="N41" s="8">
        <v>0.0</v>
      </c>
      <c r="O41" s="11">
        <v>47143.0</v>
      </c>
      <c r="P41" s="10"/>
      <c r="Q41" s="8">
        <v>0.0</v>
      </c>
      <c r="R41" s="8">
        <v>219981.6</v>
      </c>
      <c r="S41" s="8">
        <v>1614630.39</v>
      </c>
      <c r="T41" s="8">
        <v>0.0</v>
      </c>
      <c r="U41" s="8">
        <v>0.0</v>
      </c>
      <c r="V41" s="8">
        <v>0.0</v>
      </c>
      <c r="W41" s="8">
        <v>0.0</v>
      </c>
      <c r="X41" s="8">
        <v>0.0</v>
      </c>
      <c r="Y41" s="8">
        <v>0.0</v>
      </c>
      <c r="Z41" s="8">
        <v>0.0</v>
      </c>
      <c r="AA41" s="8">
        <v>0.0</v>
      </c>
      <c r="AB41" s="8">
        <v>0.0</v>
      </c>
      <c r="AC41" s="8">
        <v>1834611.99</v>
      </c>
      <c r="AD41" s="3" t="s">
        <v>36</v>
      </c>
      <c r="AE41" s="10"/>
      <c r="AF41" s="3">
        <v>0.0</v>
      </c>
      <c r="AG41" s="8">
        <v>12.73</v>
      </c>
      <c r="AH41" s="8">
        <v>18.58</v>
      </c>
    </row>
    <row r="42">
      <c r="A42" s="3">
        <v>41.0</v>
      </c>
      <c r="B42" s="8">
        <v>1834611.99</v>
      </c>
      <c r="C42" s="8">
        <v>1834611.99</v>
      </c>
      <c r="D42" s="8">
        <v>222315.24</v>
      </c>
      <c r="E42" s="8">
        <v>1612296.75</v>
      </c>
      <c r="F42" s="8">
        <v>0.0</v>
      </c>
      <c r="G42" s="8">
        <v>0.0</v>
      </c>
      <c r="H42" s="8">
        <v>0.0</v>
      </c>
      <c r="I42" s="8">
        <v>1.5176166784E8</v>
      </c>
      <c r="J42" s="8">
        <v>1.5176166784E8</v>
      </c>
      <c r="K42" s="8">
        <v>0.0</v>
      </c>
      <c r="L42" s="8">
        <v>0.0</v>
      </c>
      <c r="M42" s="8">
        <v>0.0</v>
      </c>
      <c r="N42" s="8">
        <v>0.0</v>
      </c>
      <c r="O42" s="11">
        <v>47174.0</v>
      </c>
      <c r="P42" s="10"/>
      <c r="Q42" s="8">
        <v>0.0</v>
      </c>
      <c r="R42" s="8">
        <v>222315.24</v>
      </c>
      <c r="S42" s="8">
        <v>1612296.75</v>
      </c>
      <c r="T42" s="8">
        <v>0.0</v>
      </c>
      <c r="U42" s="8">
        <v>0.0</v>
      </c>
      <c r="V42" s="8">
        <v>0.0</v>
      </c>
      <c r="W42" s="8">
        <v>0.0</v>
      </c>
      <c r="X42" s="8">
        <v>0.0</v>
      </c>
      <c r="Y42" s="8">
        <v>0.0</v>
      </c>
      <c r="Z42" s="8">
        <v>0.0</v>
      </c>
      <c r="AA42" s="8">
        <v>0.0</v>
      </c>
      <c r="AB42" s="8">
        <v>0.0</v>
      </c>
      <c r="AC42" s="8">
        <v>1834611.99</v>
      </c>
      <c r="AD42" s="3" t="s">
        <v>36</v>
      </c>
      <c r="AE42" s="10"/>
      <c r="AF42" s="3">
        <v>0.0</v>
      </c>
      <c r="AG42" s="8">
        <v>12.73</v>
      </c>
      <c r="AH42" s="8">
        <v>18.58</v>
      </c>
    </row>
    <row r="43">
      <c r="A43" s="3">
        <v>42.0</v>
      </c>
      <c r="B43" s="8">
        <v>1834611.99</v>
      </c>
      <c r="C43" s="8">
        <v>1834611.99</v>
      </c>
      <c r="D43" s="8">
        <v>224673.64</v>
      </c>
      <c r="E43" s="8">
        <v>1609938.35</v>
      </c>
      <c r="F43" s="8">
        <v>0.0</v>
      </c>
      <c r="G43" s="8">
        <v>0.0</v>
      </c>
      <c r="H43" s="8">
        <v>0.0</v>
      </c>
      <c r="I43" s="8">
        <v>1.515369942E8</v>
      </c>
      <c r="J43" s="8">
        <v>1.515369942E8</v>
      </c>
      <c r="K43" s="8">
        <v>0.0</v>
      </c>
      <c r="L43" s="8">
        <v>0.0</v>
      </c>
      <c r="M43" s="8">
        <v>0.0</v>
      </c>
      <c r="N43" s="8">
        <v>0.0</v>
      </c>
      <c r="O43" s="11">
        <v>47202.0</v>
      </c>
      <c r="P43" s="10"/>
      <c r="Q43" s="8">
        <v>0.0</v>
      </c>
      <c r="R43" s="8">
        <v>224673.64</v>
      </c>
      <c r="S43" s="8">
        <v>1609938.35</v>
      </c>
      <c r="T43" s="8">
        <v>0.0</v>
      </c>
      <c r="U43" s="8">
        <v>0.0</v>
      </c>
      <c r="V43" s="8">
        <v>0.0</v>
      </c>
      <c r="W43" s="8">
        <v>0.0</v>
      </c>
      <c r="X43" s="8">
        <v>0.0</v>
      </c>
      <c r="Y43" s="8">
        <v>0.0</v>
      </c>
      <c r="Z43" s="8">
        <v>0.0</v>
      </c>
      <c r="AA43" s="8">
        <v>0.0</v>
      </c>
      <c r="AB43" s="8">
        <v>0.0</v>
      </c>
      <c r="AC43" s="8">
        <v>1834611.99</v>
      </c>
      <c r="AD43" s="3" t="s">
        <v>36</v>
      </c>
      <c r="AE43" s="10"/>
      <c r="AF43" s="3">
        <v>0.0</v>
      </c>
      <c r="AG43" s="8">
        <v>12.73</v>
      </c>
      <c r="AH43" s="8">
        <v>18.58</v>
      </c>
    </row>
    <row r="44">
      <c r="A44" s="3">
        <v>43.0</v>
      </c>
      <c r="B44" s="8">
        <v>1834611.99</v>
      </c>
      <c r="C44" s="8">
        <v>1834611.99</v>
      </c>
      <c r="D44" s="8">
        <v>227057.05</v>
      </c>
      <c r="E44" s="8">
        <v>1607554.94</v>
      </c>
      <c r="F44" s="8">
        <v>0.0</v>
      </c>
      <c r="G44" s="8">
        <v>0.0</v>
      </c>
      <c r="H44" s="8">
        <v>0.0</v>
      </c>
      <c r="I44" s="8">
        <v>1.5130993715E8</v>
      </c>
      <c r="J44" s="8">
        <v>1.5130993715E8</v>
      </c>
      <c r="K44" s="8">
        <v>0.0</v>
      </c>
      <c r="L44" s="8">
        <v>0.0</v>
      </c>
      <c r="M44" s="8">
        <v>0.0</v>
      </c>
      <c r="N44" s="8">
        <v>0.0</v>
      </c>
      <c r="O44" s="11">
        <v>47233.0</v>
      </c>
      <c r="P44" s="10"/>
      <c r="Q44" s="8">
        <v>0.0</v>
      </c>
      <c r="R44" s="8">
        <v>227057.05</v>
      </c>
      <c r="S44" s="8">
        <v>1607554.94</v>
      </c>
      <c r="T44" s="8">
        <v>0.0</v>
      </c>
      <c r="U44" s="8">
        <v>0.0</v>
      </c>
      <c r="V44" s="8">
        <v>0.0</v>
      </c>
      <c r="W44" s="8">
        <v>0.0</v>
      </c>
      <c r="X44" s="8">
        <v>0.0</v>
      </c>
      <c r="Y44" s="8">
        <v>0.0</v>
      </c>
      <c r="Z44" s="8">
        <v>0.0</v>
      </c>
      <c r="AA44" s="8">
        <v>0.0</v>
      </c>
      <c r="AB44" s="8">
        <v>0.0</v>
      </c>
      <c r="AC44" s="8">
        <v>1834611.99</v>
      </c>
      <c r="AD44" s="3" t="s">
        <v>36</v>
      </c>
      <c r="AE44" s="10"/>
      <c r="AF44" s="3">
        <v>0.0</v>
      </c>
      <c r="AG44" s="8">
        <v>12.73</v>
      </c>
      <c r="AH44" s="8">
        <v>18.58</v>
      </c>
    </row>
    <row r="45">
      <c r="A45" s="3">
        <v>44.0</v>
      </c>
      <c r="B45" s="8">
        <v>1834611.99</v>
      </c>
      <c r="C45" s="8">
        <v>1834611.99</v>
      </c>
      <c r="D45" s="8">
        <v>229465.75</v>
      </c>
      <c r="E45" s="8">
        <v>1605146.24</v>
      </c>
      <c r="F45" s="8">
        <v>0.0</v>
      </c>
      <c r="G45" s="8">
        <v>0.0</v>
      </c>
      <c r="H45" s="8">
        <v>0.0</v>
      </c>
      <c r="I45" s="8">
        <v>1.510804714E8</v>
      </c>
      <c r="J45" s="8">
        <v>1.510804714E8</v>
      </c>
      <c r="K45" s="8">
        <v>0.0</v>
      </c>
      <c r="L45" s="8">
        <v>0.0</v>
      </c>
      <c r="M45" s="8">
        <v>0.0</v>
      </c>
      <c r="N45" s="8">
        <v>0.0</v>
      </c>
      <c r="O45" s="11">
        <v>47263.0</v>
      </c>
      <c r="P45" s="10"/>
      <c r="Q45" s="8">
        <v>0.0</v>
      </c>
      <c r="R45" s="8">
        <v>229465.75</v>
      </c>
      <c r="S45" s="8">
        <v>1605146.24</v>
      </c>
      <c r="T45" s="8">
        <v>0.0</v>
      </c>
      <c r="U45" s="8">
        <v>0.0</v>
      </c>
      <c r="V45" s="8">
        <v>0.0</v>
      </c>
      <c r="W45" s="8">
        <v>0.0</v>
      </c>
      <c r="X45" s="8">
        <v>0.0</v>
      </c>
      <c r="Y45" s="8">
        <v>0.0</v>
      </c>
      <c r="Z45" s="8">
        <v>0.0</v>
      </c>
      <c r="AA45" s="8">
        <v>0.0</v>
      </c>
      <c r="AB45" s="8">
        <v>0.0</v>
      </c>
      <c r="AC45" s="8">
        <v>1834611.99</v>
      </c>
      <c r="AD45" s="3" t="s">
        <v>36</v>
      </c>
      <c r="AE45" s="10"/>
      <c r="AF45" s="3">
        <v>0.0</v>
      </c>
      <c r="AG45" s="8">
        <v>12.73</v>
      </c>
      <c r="AH45" s="8">
        <v>18.58</v>
      </c>
    </row>
    <row r="46">
      <c r="A46" s="3">
        <v>45.0</v>
      </c>
      <c r="B46" s="8">
        <v>1834611.99</v>
      </c>
      <c r="C46" s="8">
        <v>1834611.99</v>
      </c>
      <c r="D46" s="8">
        <v>231899.99</v>
      </c>
      <c r="E46" s="8">
        <v>1602712.0</v>
      </c>
      <c r="F46" s="8">
        <v>0.0</v>
      </c>
      <c r="G46" s="8">
        <v>0.0</v>
      </c>
      <c r="H46" s="8">
        <v>0.0</v>
      </c>
      <c r="I46" s="8">
        <v>1.5084857141E8</v>
      </c>
      <c r="J46" s="8">
        <v>1.5084857141E8</v>
      </c>
      <c r="K46" s="8">
        <v>0.0</v>
      </c>
      <c r="L46" s="8">
        <v>0.0</v>
      </c>
      <c r="M46" s="8">
        <v>0.0</v>
      </c>
      <c r="N46" s="8">
        <v>0.0</v>
      </c>
      <c r="O46" s="11">
        <v>47294.0</v>
      </c>
      <c r="P46" s="10"/>
      <c r="Q46" s="8">
        <v>0.0</v>
      </c>
      <c r="R46" s="8">
        <v>231899.99</v>
      </c>
      <c r="S46" s="8">
        <v>1602712.0</v>
      </c>
      <c r="T46" s="8">
        <v>0.0</v>
      </c>
      <c r="U46" s="8">
        <v>0.0</v>
      </c>
      <c r="V46" s="8">
        <v>0.0</v>
      </c>
      <c r="W46" s="8">
        <v>0.0</v>
      </c>
      <c r="X46" s="8">
        <v>0.0</v>
      </c>
      <c r="Y46" s="8">
        <v>0.0</v>
      </c>
      <c r="Z46" s="8">
        <v>0.0</v>
      </c>
      <c r="AA46" s="8">
        <v>0.0</v>
      </c>
      <c r="AB46" s="8">
        <v>0.0</v>
      </c>
      <c r="AC46" s="8">
        <v>1834611.99</v>
      </c>
      <c r="AD46" s="3" t="s">
        <v>36</v>
      </c>
      <c r="AE46" s="10"/>
      <c r="AF46" s="3">
        <v>0.0</v>
      </c>
      <c r="AG46" s="8">
        <v>12.73</v>
      </c>
      <c r="AH46" s="8">
        <v>18.58</v>
      </c>
    </row>
    <row r="47">
      <c r="A47" s="3">
        <v>46.0</v>
      </c>
      <c r="B47" s="8">
        <v>1834611.99</v>
      </c>
      <c r="C47" s="8">
        <v>1834611.99</v>
      </c>
      <c r="D47" s="8">
        <v>234360.07</v>
      </c>
      <c r="E47" s="8">
        <v>1600251.92</v>
      </c>
      <c r="F47" s="8">
        <v>0.0</v>
      </c>
      <c r="G47" s="8">
        <v>0.0</v>
      </c>
      <c r="H47" s="8">
        <v>0.0</v>
      </c>
      <c r="I47" s="8">
        <v>1.5061421134E8</v>
      </c>
      <c r="J47" s="8">
        <v>1.5061421134E8</v>
      </c>
      <c r="K47" s="8">
        <v>0.0</v>
      </c>
      <c r="L47" s="8">
        <v>0.0</v>
      </c>
      <c r="M47" s="8">
        <v>0.0</v>
      </c>
      <c r="N47" s="8">
        <v>0.0</v>
      </c>
      <c r="O47" s="11">
        <v>47324.0</v>
      </c>
      <c r="P47" s="10"/>
      <c r="Q47" s="8">
        <v>0.0</v>
      </c>
      <c r="R47" s="8">
        <v>234360.07</v>
      </c>
      <c r="S47" s="8">
        <v>1600251.92</v>
      </c>
      <c r="T47" s="8">
        <v>0.0</v>
      </c>
      <c r="U47" s="8">
        <v>0.0</v>
      </c>
      <c r="V47" s="8">
        <v>0.0</v>
      </c>
      <c r="W47" s="8">
        <v>0.0</v>
      </c>
      <c r="X47" s="8">
        <v>0.0</v>
      </c>
      <c r="Y47" s="8">
        <v>0.0</v>
      </c>
      <c r="Z47" s="8">
        <v>0.0</v>
      </c>
      <c r="AA47" s="8">
        <v>0.0</v>
      </c>
      <c r="AB47" s="8">
        <v>0.0</v>
      </c>
      <c r="AC47" s="8">
        <v>1834611.99</v>
      </c>
      <c r="AD47" s="3" t="s">
        <v>36</v>
      </c>
      <c r="AE47" s="10"/>
      <c r="AF47" s="3">
        <v>0.0</v>
      </c>
      <c r="AG47" s="8">
        <v>12.73</v>
      </c>
      <c r="AH47" s="8">
        <v>18.58</v>
      </c>
    </row>
    <row r="48">
      <c r="A48" s="3">
        <v>47.0</v>
      </c>
      <c r="B48" s="8">
        <v>1834611.99</v>
      </c>
      <c r="C48" s="8">
        <v>1834611.99</v>
      </c>
      <c r="D48" s="8">
        <v>236846.24</v>
      </c>
      <c r="E48" s="8">
        <v>1597765.75</v>
      </c>
      <c r="F48" s="8">
        <v>0.0</v>
      </c>
      <c r="G48" s="8">
        <v>0.0</v>
      </c>
      <c r="H48" s="8">
        <v>0.0</v>
      </c>
      <c r="I48" s="8">
        <v>1.503773651E8</v>
      </c>
      <c r="J48" s="8">
        <v>1.503773651E8</v>
      </c>
      <c r="K48" s="8">
        <v>0.0</v>
      </c>
      <c r="L48" s="8">
        <v>0.0</v>
      </c>
      <c r="M48" s="8">
        <v>0.0</v>
      </c>
      <c r="N48" s="8">
        <v>0.0</v>
      </c>
      <c r="O48" s="11">
        <v>47355.0</v>
      </c>
      <c r="P48" s="10"/>
      <c r="Q48" s="8">
        <v>0.0</v>
      </c>
      <c r="R48" s="8">
        <v>236846.24</v>
      </c>
      <c r="S48" s="8">
        <v>1597765.75</v>
      </c>
      <c r="T48" s="8">
        <v>0.0</v>
      </c>
      <c r="U48" s="8">
        <v>0.0</v>
      </c>
      <c r="V48" s="8">
        <v>0.0</v>
      </c>
      <c r="W48" s="8">
        <v>0.0</v>
      </c>
      <c r="X48" s="8">
        <v>0.0</v>
      </c>
      <c r="Y48" s="8">
        <v>0.0</v>
      </c>
      <c r="Z48" s="8">
        <v>0.0</v>
      </c>
      <c r="AA48" s="8">
        <v>0.0</v>
      </c>
      <c r="AB48" s="8">
        <v>0.0</v>
      </c>
      <c r="AC48" s="8">
        <v>1834611.99</v>
      </c>
      <c r="AD48" s="3" t="s">
        <v>36</v>
      </c>
      <c r="AE48" s="10"/>
      <c r="AF48" s="3">
        <v>0.0</v>
      </c>
      <c r="AG48" s="8">
        <v>12.73</v>
      </c>
      <c r="AH48" s="8">
        <v>18.58</v>
      </c>
    </row>
    <row r="49">
      <c r="A49" s="3">
        <v>48.0</v>
      </c>
      <c r="B49" s="8">
        <v>1834611.99</v>
      </c>
      <c r="C49" s="8">
        <v>1834611.99</v>
      </c>
      <c r="D49" s="8">
        <v>239358.78</v>
      </c>
      <c r="E49" s="8">
        <v>1595253.21</v>
      </c>
      <c r="F49" s="8">
        <v>0.0</v>
      </c>
      <c r="G49" s="8">
        <v>0.0</v>
      </c>
      <c r="H49" s="8">
        <v>0.0</v>
      </c>
      <c r="I49" s="8">
        <v>1.5013800632E8</v>
      </c>
      <c r="J49" s="8">
        <v>1.5013800632E8</v>
      </c>
      <c r="K49" s="8">
        <v>0.0</v>
      </c>
      <c r="L49" s="8">
        <v>0.0</v>
      </c>
      <c r="M49" s="8">
        <v>0.0</v>
      </c>
      <c r="N49" s="8">
        <v>0.0</v>
      </c>
      <c r="O49" s="11">
        <v>47386.0</v>
      </c>
      <c r="P49" s="10"/>
      <c r="Q49" s="8">
        <v>0.0</v>
      </c>
      <c r="R49" s="8">
        <v>239358.78</v>
      </c>
      <c r="S49" s="8">
        <v>1595253.21</v>
      </c>
      <c r="T49" s="8">
        <v>0.0</v>
      </c>
      <c r="U49" s="8">
        <v>0.0</v>
      </c>
      <c r="V49" s="8">
        <v>0.0</v>
      </c>
      <c r="W49" s="8">
        <v>0.0</v>
      </c>
      <c r="X49" s="8">
        <v>0.0</v>
      </c>
      <c r="Y49" s="8">
        <v>0.0</v>
      </c>
      <c r="Z49" s="8">
        <v>0.0</v>
      </c>
      <c r="AA49" s="8">
        <v>0.0</v>
      </c>
      <c r="AB49" s="8">
        <v>0.0</v>
      </c>
      <c r="AC49" s="8">
        <v>1834611.99</v>
      </c>
      <c r="AD49" s="3" t="s">
        <v>36</v>
      </c>
      <c r="AE49" s="10"/>
      <c r="AF49" s="3">
        <v>0.0</v>
      </c>
      <c r="AG49" s="8">
        <v>12.73</v>
      </c>
      <c r="AH49" s="8">
        <v>18.58</v>
      </c>
    </row>
    <row r="50">
      <c r="A50" s="3">
        <v>49.0</v>
      </c>
      <c r="B50" s="8">
        <v>1834611.99</v>
      </c>
      <c r="C50" s="8">
        <v>1834611.99</v>
      </c>
      <c r="D50" s="8">
        <v>241897.98</v>
      </c>
      <c r="E50" s="8">
        <v>1592714.01</v>
      </c>
      <c r="F50" s="8">
        <v>0.0</v>
      </c>
      <c r="G50" s="8">
        <v>0.0</v>
      </c>
      <c r="H50" s="8">
        <v>0.0</v>
      </c>
      <c r="I50" s="8">
        <v>1.4989610834E8</v>
      </c>
      <c r="J50" s="8">
        <v>1.4989610834E8</v>
      </c>
      <c r="K50" s="8">
        <v>0.0</v>
      </c>
      <c r="L50" s="8">
        <v>0.0</v>
      </c>
      <c r="M50" s="8">
        <v>0.0</v>
      </c>
      <c r="N50" s="8">
        <v>0.0</v>
      </c>
      <c r="O50" s="9">
        <v>47416.0</v>
      </c>
      <c r="P50" s="10"/>
      <c r="Q50" s="8">
        <v>0.0</v>
      </c>
      <c r="R50" s="8">
        <v>241897.98</v>
      </c>
      <c r="S50" s="8">
        <v>1592714.01</v>
      </c>
      <c r="T50" s="8">
        <v>0.0</v>
      </c>
      <c r="U50" s="8">
        <v>0.0</v>
      </c>
      <c r="V50" s="8">
        <v>0.0</v>
      </c>
      <c r="W50" s="8">
        <v>0.0</v>
      </c>
      <c r="X50" s="8">
        <v>0.0</v>
      </c>
      <c r="Y50" s="8">
        <v>0.0</v>
      </c>
      <c r="Z50" s="8">
        <v>0.0</v>
      </c>
      <c r="AA50" s="8">
        <v>0.0</v>
      </c>
      <c r="AB50" s="8">
        <v>0.0</v>
      </c>
      <c r="AC50" s="8">
        <v>1834611.99</v>
      </c>
      <c r="AD50" s="3" t="s">
        <v>36</v>
      </c>
      <c r="AE50" s="10"/>
      <c r="AF50" s="3">
        <v>0.0</v>
      </c>
      <c r="AG50" s="8">
        <v>12.73</v>
      </c>
      <c r="AH50" s="8">
        <v>18.58</v>
      </c>
    </row>
    <row r="51">
      <c r="A51" s="3">
        <v>50.0</v>
      </c>
      <c r="B51" s="8">
        <v>1834611.99</v>
      </c>
      <c r="C51" s="8">
        <v>1834611.99</v>
      </c>
      <c r="D51" s="8">
        <v>244464.11</v>
      </c>
      <c r="E51" s="8">
        <v>1590147.88</v>
      </c>
      <c r="F51" s="8">
        <v>0.0</v>
      </c>
      <c r="G51" s="8">
        <v>0.0</v>
      </c>
      <c r="H51" s="8">
        <v>0.0</v>
      </c>
      <c r="I51" s="8">
        <v>1.4965164423E8</v>
      </c>
      <c r="J51" s="8">
        <v>1.4965164423E8</v>
      </c>
      <c r="K51" s="8">
        <v>0.0</v>
      </c>
      <c r="L51" s="8">
        <v>0.0</v>
      </c>
      <c r="M51" s="8">
        <v>0.0</v>
      </c>
      <c r="N51" s="8">
        <v>0.0</v>
      </c>
      <c r="O51" s="9">
        <v>47447.0</v>
      </c>
      <c r="P51" s="10"/>
      <c r="Q51" s="8">
        <v>0.0</v>
      </c>
      <c r="R51" s="8">
        <v>244464.11</v>
      </c>
      <c r="S51" s="8">
        <v>1590147.88</v>
      </c>
      <c r="T51" s="8">
        <v>0.0</v>
      </c>
      <c r="U51" s="8">
        <v>0.0</v>
      </c>
      <c r="V51" s="8">
        <v>0.0</v>
      </c>
      <c r="W51" s="8">
        <v>0.0</v>
      </c>
      <c r="X51" s="8">
        <v>0.0</v>
      </c>
      <c r="Y51" s="8">
        <v>0.0</v>
      </c>
      <c r="Z51" s="8">
        <v>0.0</v>
      </c>
      <c r="AA51" s="8">
        <v>0.0</v>
      </c>
      <c r="AB51" s="8">
        <v>0.0</v>
      </c>
      <c r="AC51" s="8">
        <v>1834611.99</v>
      </c>
      <c r="AD51" s="3" t="s">
        <v>36</v>
      </c>
      <c r="AE51" s="10"/>
      <c r="AF51" s="3">
        <v>0.0</v>
      </c>
      <c r="AG51" s="8">
        <v>12.73</v>
      </c>
      <c r="AH51" s="8">
        <v>18.58</v>
      </c>
    </row>
    <row r="52">
      <c r="A52" s="3">
        <v>51.0</v>
      </c>
      <c r="B52" s="8">
        <v>1834611.99</v>
      </c>
      <c r="C52" s="8">
        <v>1834611.99</v>
      </c>
      <c r="D52" s="8">
        <v>247057.47</v>
      </c>
      <c r="E52" s="8">
        <v>1587554.52</v>
      </c>
      <c r="F52" s="8">
        <v>0.0</v>
      </c>
      <c r="G52" s="8">
        <v>0.0</v>
      </c>
      <c r="H52" s="8">
        <v>0.0</v>
      </c>
      <c r="I52" s="8">
        <v>1.4940458676E8</v>
      </c>
      <c r="J52" s="8">
        <v>1.4940458676E8</v>
      </c>
      <c r="K52" s="8">
        <v>0.0</v>
      </c>
      <c r="L52" s="8">
        <v>0.0</v>
      </c>
      <c r="M52" s="8">
        <v>0.0</v>
      </c>
      <c r="N52" s="8">
        <v>0.0</v>
      </c>
      <c r="O52" s="9">
        <v>47477.0</v>
      </c>
      <c r="P52" s="10"/>
      <c r="Q52" s="8">
        <v>0.0</v>
      </c>
      <c r="R52" s="8">
        <v>247057.47</v>
      </c>
      <c r="S52" s="8">
        <v>1587554.52</v>
      </c>
      <c r="T52" s="8">
        <v>0.0</v>
      </c>
      <c r="U52" s="8">
        <v>0.0</v>
      </c>
      <c r="V52" s="8">
        <v>0.0</v>
      </c>
      <c r="W52" s="8">
        <v>0.0</v>
      </c>
      <c r="X52" s="8">
        <v>0.0</v>
      </c>
      <c r="Y52" s="8">
        <v>0.0</v>
      </c>
      <c r="Z52" s="8">
        <v>0.0</v>
      </c>
      <c r="AA52" s="8">
        <v>0.0</v>
      </c>
      <c r="AB52" s="8">
        <v>0.0</v>
      </c>
      <c r="AC52" s="8">
        <v>1834611.99</v>
      </c>
      <c r="AD52" s="3" t="s">
        <v>36</v>
      </c>
      <c r="AE52" s="10"/>
      <c r="AF52" s="3">
        <v>0.0</v>
      </c>
      <c r="AG52" s="8">
        <v>12.73</v>
      </c>
      <c r="AH52" s="8">
        <v>18.58</v>
      </c>
    </row>
    <row r="53">
      <c r="A53" s="3">
        <v>52.0</v>
      </c>
      <c r="B53" s="8">
        <v>1834611.99</v>
      </c>
      <c r="C53" s="8">
        <v>1834611.99</v>
      </c>
      <c r="D53" s="8">
        <v>249678.34</v>
      </c>
      <c r="E53" s="8">
        <v>1584933.65</v>
      </c>
      <c r="F53" s="8">
        <v>0.0</v>
      </c>
      <c r="G53" s="8">
        <v>0.0</v>
      </c>
      <c r="H53" s="8">
        <v>0.0</v>
      </c>
      <c r="I53" s="8">
        <v>1.4915490842E8</v>
      </c>
      <c r="J53" s="8">
        <v>1.4915490842E8</v>
      </c>
      <c r="K53" s="8">
        <v>0.0</v>
      </c>
      <c r="L53" s="8">
        <v>0.0</v>
      </c>
      <c r="M53" s="8">
        <v>0.0</v>
      </c>
      <c r="N53" s="8">
        <v>0.0</v>
      </c>
      <c r="O53" s="11">
        <v>47508.0</v>
      </c>
      <c r="P53" s="10"/>
      <c r="Q53" s="8">
        <v>0.0</v>
      </c>
      <c r="R53" s="8">
        <v>249678.34</v>
      </c>
      <c r="S53" s="8">
        <v>1584933.65</v>
      </c>
      <c r="T53" s="8">
        <v>0.0</v>
      </c>
      <c r="U53" s="8">
        <v>0.0</v>
      </c>
      <c r="V53" s="8">
        <v>0.0</v>
      </c>
      <c r="W53" s="8">
        <v>0.0</v>
      </c>
      <c r="X53" s="8">
        <v>0.0</v>
      </c>
      <c r="Y53" s="8">
        <v>0.0</v>
      </c>
      <c r="Z53" s="8">
        <v>0.0</v>
      </c>
      <c r="AA53" s="8">
        <v>0.0</v>
      </c>
      <c r="AB53" s="8">
        <v>0.0</v>
      </c>
      <c r="AC53" s="8">
        <v>1834611.99</v>
      </c>
      <c r="AD53" s="3" t="s">
        <v>36</v>
      </c>
      <c r="AE53" s="10"/>
      <c r="AF53" s="3">
        <v>0.0</v>
      </c>
      <c r="AG53" s="8">
        <v>12.73</v>
      </c>
      <c r="AH53" s="8">
        <v>18.58</v>
      </c>
    </row>
    <row r="54">
      <c r="A54" s="3">
        <v>53.0</v>
      </c>
      <c r="B54" s="8">
        <v>1834611.99</v>
      </c>
      <c r="C54" s="8">
        <v>1834611.99</v>
      </c>
      <c r="D54" s="8">
        <v>252327.01</v>
      </c>
      <c r="E54" s="8">
        <v>1582284.98</v>
      </c>
      <c r="F54" s="8">
        <v>0.0</v>
      </c>
      <c r="G54" s="8">
        <v>0.0</v>
      </c>
      <c r="H54" s="8">
        <v>0.0</v>
      </c>
      <c r="I54" s="8">
        <v>1.4890258141E8</v>
      </c>
      <c r="J54" s="8">
        <v>1.4890258141E8</v>
      </c>
      <c r="K54" s="8">
        <v>0.0</v>
      </c>
      <c r="L54" s="8">
        <v>0.0</v>
      </c>
      <c r="M54" s="8">
        <v>0.0</v>
      </c>
      <c r="N54" s="8">
        <v>0.0</v>
      </c>
      <c r="O54" s="11">
        <v>47539.0</v>
      </c>
      <c r="P54" s="10"/>
      <c r="Q54" s="8">
        <v>0.0</v>
      </c>
      <c r="R54" s="8">
        <v>252327.01</v>
      </c>
      <c r="S54" s="8">
        <v>1582284.98</v>
      </c>
      <c r="T54" s="8">
        <v>0.0</v>
      </c>
      <c r="U54" s="8">
        <v>0.0</v>
      </c>
      <c r="V54" s="8">
        <v>0.0</v>
      </c>
      <c r="W54" s="8">
        <v>0.0</v>
      </c>
      <c r="X54" s="8">
        <v>0.0</v>
      </c>
      <c r="Y54" s="8">
        <v>0.0</v>
      </c>
      <c r="Z54" s="8">
        <v>0.0</v>
      </c>
      <c r="AA54" s="8">
        <v>0.0</v>
      </c>
      <c r="AB54" s="8">
        <v>0.0</v>
      </c>
      <c r="AC54" s="8">
        <v>1834611.99</v>
      </c>
      <c r="AD54" s="3" t="s">
        <v>36</v>
      </c>
      <c r="AE54" s="10"/>
      <c r="AF54" s="3">
        <v>0.0</v>
      </c>
      <c r="AG54" s="8">
        <v>12.73</v>
      </c>
      <c r="AH54" s="8">
        <v>18.58</v>
      </c>
    </row>
    <row r="55">
      <c r="A55" s="3">
        <v>54.0</v>
      </c>
      <c r="B55" s="8">
        <v>1834611.99</v>
      </c>
      <c r="C55" s="8">
        <v>1834611.99</v>
      </c>
      <c r="D55" s="8">
        <v>255003.78</v>
      </c>
      <c r="E55" s="8">
        <v>1579608.21</v>
      </c>
      <c r="F55" s="8">
        <v>0.0</v>
      </c>
      <c r="G55" s="8">
        <v>0.0</v>
      </c>
      <c r="H55" s="8">
        <v>0.0</v>
      </c>
      <c r="I55" s="8">
        <v>1.4864757763E8</v>
      </c>
      <c r="J55" s="8">
        <v>1.4864757763E8</v>
      </c>
      <c r="K55" s="8">
        <v>0.0</v>
      </c>
      <c r="L55" s="8">
        <v>0.0</v>
      </c>
      <c r="M55" s="8">
        <v>0.0</v>
      </c>
      <c r="N55" s="8">
        <v>0.0</v>
      </c>
      <c r="O55" s="11">
        <v>47567.0</v>
      </c>
      <c r="P55" s="10"/>
      <c r="Q55" s="8">
        <v>0.0</v>
      </c>
      <c r="R55" s="8">
        <v>255003.78</v>
      </c>
      <c r="S55" s="8">
        <v>1579608.21</v>
      </c>
      <c r="T55" s="8">
        <v>0.0</v>
      </c>
      <c r="U55" s="8">
        <v>0.0</v>
      </c>
      <c r="V55" s="8">
        <v>0.0</v>
      </c>
      <c r="W55" s="8">
        <v>0.0</v>
      </c>
      <c r="X55" s="8">
        <v>0.0</v>
      </c>
      <c r="Y55" s="8">
        <v>0.0</v>
      </c>
      <c r="Z55" s="8">
        <v>0.0</v>
      </c>
      <c r="AA55" s="8">
        <v>0.0</v>
      </c>
      <c r="AB55" s="8">
        <v>0.0</v>
      </c>
      <c r="AC55" s="8">
        <v>1834611.99</v>
      </c>
      <c r="AD55" s="3" t="s">
        <v>36</v>
      </c>
      <c r="AE55" s="10"/>
      <c r="AF55" s="3">
        <v>0.0</v>
      </c>
      <c r="AG55" s="8">
        <v>12.73</v>
      </c>
      <c r="AH55" s="8">
        <v>18.58</v>
      </c>
    </row>
    <row r="56">
      <c r="A56" s="3">
        <v>55.0</v>
      </c>
      <c r="B56" s="8">
        <v>1834611.99</v>
      </c>
      <c r="C56" s="8">
        <v>1834611.99</v>
      </c>
      <c r="D56" s="8">
        <v>257708.94</v>
      </c>
      <c r="E56" s="8">
        <v>1576903.05</v>
      </c>
      <c r="F56" s="8">
        <v>0.0</v>
      </c>
      <c r="G56" s="8">
        <v>0.0</v>
      </c>
      <c r="H56" s="8">
        <v>0.0</v>
      </c>
      <c r="I56" s="8">
        <v>1.4838986869E8</v>
      </c>
      <c r="J56" s="8">
        <v>1.4838986869E8</v>
      </c>
      <c r="K56" s="8">
        <v>0.0</v>
      </c>
      <c r="L56" s="8">
        <v>0.0</v>
      </c>
      <c r="M56" s="8">
        <v>0.0</v>
      </c>
      <c r="N56" s="8">
        <v>0.0</v>
      </c>
      <c r="O56" s="11">
        <v>47598.0</v>
      </c>
      <c r="P56" s="10"/>
      <c r="Q56" s="8">
        <v>0.0</v>
      </c>
      <c r="R56" s="8">
        <v>257708.94</v>
      </c>
      <c r="S56" s="8">
        <v>1576903.05</v>
      </c>
      <c r="T56" s="8">
        <v>0.0</v>
      </c>
      <c r="U56" s="8">
        <v>0.0</v>
      </c>
      <c r="V56" s="8">
        <v>0.0</v>
      </c>
      <c r="W56" s="8">
        <v>0.0</v>
      </c>
      <c r="X56" s="8">
        <v>0.0</v>
      </c>
      <c r="Y56" s="8">
        <v>0.0</v>
      </c>
      <c r="Z56" s="8">
        <v>0.0</v>
      </c>
      <c r="AA56" s="8">
        <v>0.0</v>
      </c>
      <c r="AB56" s="8">
        <v>0.0</v>
      </c>
      <c r="AC56" s="8">
        <v>1834611.99</v>
      </c>
      <c r="AD56" s="3" t="s">
        <v>36</v>
      </c>
      <c r="AE56" s="10"/>
      <c r="AF56" s="3">
        <v>0.0</v>
      </c>
      <c r="AG56" s="8">
        <v>12.73</v>
      </c>
      <c r="AH56" s="8">
        <v>18.58</v>
      </c>
    </row>
    <row r="57">
      <c r="A57" s="3">
        <v>56.0</v>
      </c>
      <c r="B57" s="8">
        <v>1834611.99</v>
      </c>
      <c r="C57" s="8">
        <v>1834611.99</v>
      </c>
      <c r="D57" s="8">
        <v>260442.8</v>
      </c>
      <c r="E57" s="8">
        <v>1574169.19</v>
      </c>
      <c r="F57" s="8">
        <v>0.0</v>
      </c>
      <c r="G57" s="8">
        <v>0.0</v>
      </c>
      <c r="H57" s="8">
        <v>0.0</v>
      </c>
      <c r="I57" s="8">
        <v>1.4812942589E8</v>
      </c>
      <c r="J57" s="8">
        <v>1.4812942589E8</v>
      </c>
      <c r="K57" s="8">
        <v>0.0</v>
      </c>
      <c r="L57" s="8">
        <v>0.0</v>
      </c>
      <c r="M57" s="8">
        <v>0.0</v>
      </c>
      <c r="N57" s="8">
        <v>0.0</v>
      </c>
      <c r="O57" s="11">
        <v>47628.0</v>
      </c>
      <c r="P57" s="10"/>
      <c r="Q57" s="8">
        <v>0.0</v>
      </c>
      <c r="R57" s="8">
        <v>260442.8</v>
      </c>
      <c r="S57" s="8">
        <v>1574169.19</v>
      </c>
      <c r="T57" s="8">
        <v>0.0</v>
      </c>
      <c r="U57" s="8">
        <v>0.0</v>
      </c>
      <c r="V57" s="8">
        <v>0.0</v>
      </c>
      <c r="W57" s="8">
        <v>0.0</v>
      </c>
      <c r="X57" s="8">
        <v>0.0</v>
      </c>
      <c r="Y57" s="8">
        <v>0.0</v>
      </c>
      <c r="Z57" s="8">
        <v>0.0</v>
      </c>
      <c r="AA57" s="8">
        <v>0.0</v>
      </c>
      <c r="AB57" s="8">
        <v>0.0</v>
      </c>
      <c r="AC57" s="8">
        <v>1834611.99</v>
      </c>
      <c r="AD57" s="3" t="s">
        <v>36</v>
      </c>
      <c r="AE57" s="10"/>
      <c r="AF57" s="3">
        <v>0.0</v>
      </c>
      <c r="AG57" s="8">
        <v>12.73</v>
      </c>
      <c r="AH57" s="8">
        <v>18.58</v>
      </c>
    </row>
    <row r="58">
      <c r="A58" s="3">
        <v>57.0</v>
      </c>
      <c r="B58" s="8">
        <v>1834611.99</v>
      </c>
      <c r="C58" s="8">
        <v>1834611.99</v>
      </c>
      <c r="D58" s="8">
        <v>263205.67</v>
      </c>
      <c r="E58" s="8">
        <v>1571406.32</v>
      </c>
      <c r="F58" s="8">
        <v>0.0</v>
      </c>
      <c r="G58" s="8">
        <v>0.0</v>
      </c>
      <c r="H58" s="8">
        <v>0.0</v>
      </c>
      <c r="I58" s="8">
        <v>1.4786622022E8</v>
      </c>
      <c r="J58" s="8">
        <v>1.4786622022E8</v>
      </c>
      <c r="K58" s="8">
        <v>0.0</v>
      </c>
      <c r="L58" s="8">
        <v>0.0</v>
      </c>
      <c r="M58" s="8">
        <v>0.0</v>
      </c>
      <c r="N58" s="8">
        <v>0.0</v>
      </c>
      <c r="O58" s="11">
        <v>47659.0</v>
      </c>
      <c r="P58" s="10"/>
      <c r="Q58" s="8">
        <v>0.0</v>
      </c>
      <c r="R58" s="8">
        <v>263205.67</v>
      </c>
      <c r="S58" s="8">
        <v>1571406.32</v>
      </c>
      <c r="T58" s="8">
        <v>0.0</v>
      </c>
      <c r="U58" s="8">
        <v>0.0</v>
      </c>
      <c r="V58" s="8">
        <v>0.0</v>
      </c>
      <c r="W58" s="8">
        <v>0.0</v>
      </c>
      <c r="X58" s="8">
        <v>0.0</v>
      </c>
      <c r="Y58" s="8">
        <v>0.0</v>
      </c>
      <c r="Z58" s="8">
        <v>0.0</v>
      </c>
      <c r="AA58" s="8">
        <v>0.0</v>
      </c>
      <c r="AB58" s="8">
        <v>0.0</v>
      </c>
      <c r="AC58" s="8">
        <v>1834611.99</v>
      </c>
      <c r="AD58" s="3" t="s">
        <v>36</v>
      </c>
      <c r="AE58" s="10"/>
      <c r="AF58" s="3">
        <v>0.0</v>
      </c>
      <c r="AG58" s="8">
        <v>12.73</v>
      </c>
      <c r="AH58" s="8">
        <v>18.58</v>
      </c>
    </row>
    <row r="59">
      <c r="A59" s="3">
        <v>58.0</v>
      </c>
      <c r="B59" s="8">
        <v>1834611.99</v>
      </c>
      <c r="C59" s="8">
        <v>1834611.99</v>
      </c>
      <c r="D59" s="8">
        <v>265997.84</v>
      </c>
      <c r="E59" s="8">
        <v>1568614.15</v>
      </c>
      <c r="F59" s="8">
        <v>0.0</v>
      </c>
      <c r="G59" s="8">
        <v>0.0</v>
      </c>
      <c r="H59" s="8">
        <v>0.0</v>
      </c>
      <c r="I59" s="8">
        <v>1.4760022238E8</v>
      </c>
      <c r="J59" s="8">
        <v>1.4760022238E8</v>
      </c>
      <c r="K59" s="8">
        <v>0.0</v>
      </c>
      <c r="L59" s="8">
        <v>0.0</v>
      </c>
      <c r="M59" s="8">
        <v>0.0</v>
      </c>
      <c r="N59" s="8">
        <v>0.0</v>
      </c>
      <c r="O59" s="11">
        <v>47689.0</v>
      </c>
      <c r="P59" s="10"/>
      <c r="Q59" s="8">
        <v>0.0</v>
      </c>
      <c r="R59" s="8">
        <v>265997.84</v>
      </c>
      <c r="S59" s="8">
        <v>1568614.15</v>
      </c>
      <c r="T59" s="8">
        <v>0.0</v>
      </c>
      <c r="U59" s="8">
        <v>0.0</v>
      </c>
      <c r="V59" s="8">
        <v>0.0</v>
      </c>
      <c r="W59" s="8">
        <v>0.0</v>
      </c>
      <c r="X59" s="8">
        <v>0.0</v>
      </c>
      <c r="Y59" s="8">
        <v>0.0</v>
      </c>
      <c r="Z59" s="8">
        <v>0.0</v>
      </c>
      <c r="AA59" s="8">
        <v>0.0</v>
      </c>
      <c r="AB59" s="8">
        <v>0.0</v>
      </c>
      <c r="AC59" s="8">
        <v>1834611.99</v>
      </c>
      <c r="AD59" s="3" t="s">
        <v>36</v>
      </c>
      <c r="AE59" s="10"/>
      <c r="AF59" s="3">
        <v>0.0</v>
      </c>
      <c r="AG59" s="8">
        <v>12.73</v>
      </c>
      <c r="AH59" s="8">
        <v>18.58</v>
      </c>
    </row>
    <row r="60">
      <c r="A60" s="3">
        <v>59.0</v>
      </c>
      <c r="B60" s="8">
        <v>1834611.99</v>
      </c>
      <c r="C60" s="8">
        <v>1834611.99</v>
      </c>
      <c r="D60" s="8">
        <v>268819.64</v>
      </c>
      <c r="E60" s="8">
        <v>1565792.35</v>
      </c>
      <c r="F60" s="8">
        <v>0.0</v>
      </c>
      <c r="G60" s="8">
        <v>0.0</v>
      </c>
      <c r="H60" s="8">
        <v>0.0</v>
      </c>
      <c r="I60" s="8">
        <v>1.4733140274E8</v>
      </c>
      <c r="J60" s="8">
        <v>1.4733140274E8</v>
      </c>
      <c r="K60" s="8">
        <v>0.0</v>
      </c>
      <c r="L60" s="8">
        <v>0.0</v>
      </c>
      <c r="M60" s="8">
        <v>0.0</v>
      </c>
      <c r="N60" s="8">
        <v>0.0</v>
      </c>
      <c r="O60" s="11">
        <v>47720.0</v>
      </c>
      <c r="P60" s="10"/>
      <c r="Q60" s="8">
        <v>0.0</v>
      </c>
      <c r="R60" s="8">
        <v>268819.64</v>
      </c>
      <c r="S60" s="8">
        <v>1565792.35</v>
      </c>
      <c r="T60" s="8">
        <v>0.0</v>
      </c>
      <c r="U60" s="8">
        <v>0.0</v>
      </c>
      <c r="V60" s="8">
        <v>0.0</v>
      </c>
      <c r="W60" s="8">
        <v>0.0</v>
      </c>
      <c r="X60" s="8">
        <v>0.0</v>
      </c>
      <c r="Y60" s="8">
        <v>0.0</v>
      </c>
      <c r="Z60" s="8">
        <v>0.0</v>
      </c>
      <c r="AA60" s="8">
        <v>0.0</v>
      </c>
      <c r="AB60" s="8">
        <v>0.0</v>
      </c>
      <c r="AC60" s="8">
        <v>1834611.99</v>
      </c>
      <c r="AD60" s="3" t="s">
        <v>36</v>
      </c>
      <c r="AE60" s="10"/>
      <c r="AF60" s="3">
        <v>0.0</v>
      </c>
      <c r="AG60" s="8">
        <v>12.73</v>
      </c>
      <c r="AH60" s="8">
        <v>18.58</v>
      </c>
    </row>
    <row r="61">
      <c r="A61" s="3">
        <v>60.0</v>
      </c>
      <c r="B61" s="8">
        <v>1834611.99</v>
      </c>
      <c r="C61" s="8">
        <v>1834611.99</v>
      </c>
      <c r="D61" s="8">
        <v>271671.36</v>
      </c>
      <c r="E61" s="8">
        <v>1562940.63</v>
      </c>
      <c r="F61" s="8">
        <v>0.0</v>
      </c>
      <c r="G61" s="8">
        <v>0.0</v>
      </c>
      <c r="H61" s="8">
        <v>0.0</v>
      </c>
      <c r="I61" s="8">
        <v>1.4705973138E8</v>
      </c>
      <c r="J61" s="8">
        <v>1.4705973138E8</v>
      </c>
      <c r="K61" s="8">
        <v>0.0</v>
      </c>
      <c r="L61" s="8">
        <v>0.0</v>
      </c>
      <c r="M61" s="8">
        <v>0.0</v>
      </c>
      <c r="N61" s="8">
        <v>0.0</v>
      </c>
      <c r="O61" s="11">
        <v>47751.0</v>
      </c>
      <c r="P61" s="10"/>
      <c r="Q61" s="8">
        <v>0.0</v>
      </c>
      <c r="R61" s="8">
        <v>271671.36</v>
      </c>
      <c r="S61" s="8">
        <v>1562940.63</v>
      </c>
      <c r="T61" s="8">
        <v>0.0</v>
      </c>
      <c r="U61" s="8">
        <v>0.0</v>
      </c>
      <c r="V61" s="8">
        <v>0.0</v>
      </c>
      <c r="W61" s="8">
        <v>0.0</v>
      </c>
      <c r="X61" s="8">
        <v>0.0</v>
      </c>
      <c r="Y61" s="8">
        <v>0.0</v>
      </c>
      <c r="Z61" s="8">
        <v>0.0</v>
      </c>
      <c r="AA61" s="8">
        <v>0.0</v>
      </c>
      <c r="AB61" s="8">
        <v>0.0</v>
      </c>
      <c r="AC61" s="8">
        <v>1834611.99</v>
      </c>
      <c r="AD61" s="3" t="s">
        <v>36</v>
      </c>
      <c r="AE61" s="10"/>
      <c r="AF61" s="3">
        <v>0.0</v>
      </c>
      <c r="AG61" s="8">
        <v>12.73</v>
      </c>
      <c r="AH61" s="8">
        <v>18.58</v>
      </c>
    </row>
    <row r="62">
      <c r="A62" s="3">
        <v>61.0</v>
      </c>
      <c r="B62" s="8">
        <v>1834611.99</v>
      </c>
      <c r="C62" s="8">
        <v>1834611.99</v>
      </c>
      <c r="D62" s="8">
        <v>274553.34</v>
      </c>
      <c r="E62" s="8">
        <v>1560058.65</v>
      </c>
      <c r="F62" s="8">
        <v>0.0</v>
      </c>
      <c r="G62" s="8">
        <v>0.0</v>
      </c>
      <c r="H62" s="8">
        <v>0.0</v>
      </c>
      <c r="I62" s="8">
        <v>1.4678517804E8</v>
      </c>
      <c r="J62" s="8">
        <v>1.4678517804E8</v>
      </c>
      <c r="K62" s="8">
        <v>0.0</v>
      </c>
      <c r="L62" s="8">
        <v>0.0</v>
      </c>
      <c r="M62" s="8">
        <v>0.0</v>
      </c>
      <c r="N62" s="8">
        <v>0.0</v>
      </c>
      <c r="O62" s="9">
        <v>47781.0</v>
      </c>
      <c r="P62" s="10"/>
      <c r="Q62" s="8">
        <v>0.0</v>
      </c>
      <c r="R62" s="8">
        <v>274553.34</v>
      </c>
      <c r="S62" s="8">
        <v>1560058.65</v>
      </c>
      <c r="T62" s="8">
        <v>0.0</v>
      </c>
      <c r="U62" s="8">
        <v>0.0</v>
      </c>
      <c r="V62" s="8">
        <v>0.0</v>
      </c>
      <c r="W62" s="8">
        <v>0.0</v>
      </c>
      <c r="X62" s="8">
        <v>0.0</v>
      </c>
      <c r="Y62" s="8">
        <v>0.0</v>
      </c>
      <c r="Z62" s="8">
        <v>0.0</v>
      </c>
      <c r="AA62" s="8">
        <v>0.0</v>
      </c>
      <c r="AB62" s="8">
        <v>0.0</v>
      </c>
      <c r="AC62" s="8">
        <v>1834611.99</v>
      </c>
      <c r="AD62" s="3" t="s">
        <v>36</v>
      </c>
      <c r="AE62" s="10"/>
      <c r="AF62" s="3">
        <v>0.0</v>
      </c>
      <c r="AG62" s="8">
        <v>12.73</v>
      </c>
      <c r="AH62" s="8">
        <v>18.58</v>
      </c>
    </row>
    <row r="63">
      <c r="A63" s="3">
        <v>62.0</v>
      </c>
      <c r="B63" s="8">
        <v>1834611.99</v>
      </c>
      <c r="C63" s="8">
        <v>1834611.99</v>
      </c>
      <c r="D63" s="8">
        <v>277465.9</v>
      </c>
      <c r="E63" s="8">
        <v>1557146.09</v>
      </c>
      <c r="F63" s="8">
        <v>0.0</v>
      </c>
      <c r="G63" s="8">
        <v>0.0</v>
      </c>
      <c r="H63" s="8">
        <v>0.0</v>
      </c>
      <c r="I63" s="8">
        <v>1.4650771214E8</v>
      </c>
      <c r="J63" s="8">
        <v>1.4650771214E8</v>
      </c>
      <c r="K63" s="8">
        <v>0.0</v>
      </c>
      <c r="L63" s="8">
        <v>0.0</v>
      </c>
      <c r="M63" s="8">
        <v>0.0</v>
      </c>
      <c r="N63" s="8">
        <v>0.0</v>
      </c>
      <c r="O63" s="9">
        <v>47812.0</v>
      </c>
      <c r="P63" s="10"/>
      <c r="Q63" s="8">
        <v>0.0</v>
      </c>
      <c r="R63" s="8">
        <v>277465.9</v>
      </c>
      <c r="S63" s="8">
        <v>1557146.09</v>
      </c>
      <c r="T63" s="8">
        <v>0.0</v>
      </c>
      <c r="U63" s="8">
        <v>0.0</v>
      </c>
      <c r="V63" s="8">
        <v>0.0</v>
      </c>
      <c r="W63" s="8">
        <v>0.0</v>
      </c>
      <c r="X63" s="8">
        <v>0.0</v>
      </c>
      <c r="Y63" s="8">
        <v>0.0</v>
      </c>
      <c r="Z63" s="8">
        <v>0.0</v>
      </c>
      <c r="AA63" s="8">
        <v>0.0</v>
      </c>
      <c r="AB63" s="8">
        <v>0.0</v>
      </c>
      <c r="AC63" s="8">
        <v>1834611.99</v>
      </c>
      <c r="AD63" s="3" t="s">
        <v>36</v>
      </c>
      <c r="AE63" s="10"/>
      <c r="AF63" s="3">
        <v>0.0</v>
      </c>
      <c r="AG63" s="8">
        <v>12.73</v>
      </c>
      <c r="AH63" s="8">
        <v>18.58</v>
      </c>
    </row>
    <row r="64">
      <c r="A64" s="3">
        <v>63.0</v>
      </c>
      <c r="B64" s="8">
        <v>1834611.99</v>
      </c>
      <c r="C64" s="8">
        <v>1834611.99</v>
      </c>
      <c r="D64" s="8">
        <v>280409.35</v>
      </c>
      <c r="E64" s="8">
        <v>1554202.64</v>
      </c>
      <c r="F64" s="8">
        <v>0.0</v>
      </c>
      <c r="G64" s="8">
        <v>0.0</v>
      </c>
      <c r="H64" s="8">
        <v>0.0</v>
      </c>
      <c r="I64" s="8">
        <v>1.4622730279E8</v>
      </c>
      <c r="J64" s="8">
        <v>1.4622730279E8</v>
      </c>
      <c r="K64" s="8">
        <v>0.0</v>
      </c>
      <c r="L64" s="8">
        <v>0.0</v>
      </c>
      <c r="M64" s="8">
        <v>0.0</v>
      </c>
      <c r="N64" s="8">
        <v>0.0</v>
      </c>
      <c r="O64" s="9">
        <v>47842.0</v>
      </c>
      <c r="P64" s="10"/>
      <c r="Q64" s="8">
        <v>0.0</v>
      </c>
      <c r="R64" s="8">
        <v>280409.35</v>
      </c>
      <c r="S64" s="8">
        <v>1554202.64</v>
      </c>
      <c r="T64" s="8">
        <v>0.0</v>
      </c>
      <c r="U64" s="8">
        <v>0.0</v>
      </c>
      <c r="V64" s="8">
        <v>0.0</v>
      </c>
      <c r="W64" s="8">
        <v>0.0</v>
      </c>
      <c r="X64" s="8">
        <v>0.0</v>
      </c>
      <c r="Y64" s="8">
        <v>0.0</v>
      </c>
      <c r="Z64" s="8">
        <v>0.0</v>
      </c>
      <c r="AA64" s="8">
        <v>0.0</v>
      </c>
      <c r="AB64" s="8">
        <v>0.0</v>
      </c>
      <c r="AC64" s="8">
        <v>1834611.99</v>
      </c>
      <c r="AD64" s="3" t="s">
        <v>36</v>
      </c>
      <c r="AE64" s="10"/>
      <c r="AF64" s="3">
        <v>0.0</v>
      </c>
      <c r="AG64" s="8">
        <v>12.73</v>
      </c>
      <c r="AH64" s="8">
        <v>18.58</v>
      </c>
    </row>
    <row r="65">
      <c r="A65" s="3">
        <v>64.0</v>
      </c>
      <c r="B65" s="8">
        <v>1834611.99</v>
      </c>
      <c r="C65" s="8">
        <v>1834611.99</v>
      </c>
      <c r="D65" s="8">
        <v>283384.02</v>
      </c>
      <c r="E65" s="8">
        <v>1551227.97</v>
      </c>
      <c r="F65" s="8">
        <v>0.0</v>
      </c>
      <c r="G65" s="8">
        <v>0.0</v>
      </c>
      <c r="H65" s="8">
        <v>0.0</v>
      </c>
      <c r="I65" s="8">
        <v>1.4594391877E8</v>
      </c>
      <c r="J65" s="8">
        <v>1.4594391877E8</v>
      </c>
      <c r="K65" s="8">
        <v>0.0</v>
      </c>
      <c r="L65" s="8">
        <v>0.0</v>
      </c>
      <c r="M65" s="8">
        <v>0.0</v>
      </c>
      <c r="N65" s="8">
        <v>0.0</v>
      </c>
      <c r="O65" s="11">
        <v>47873.0</v>
      </c>
      <c r="P65" s="10"/>
      <c r="Q65" s="8">
        <v>0.0</v>
      </c>
      <c r="R65" s="8">
        <v>283384.02</v>
      </c>
      <c r="S65" s="8">
        <v>1551227.97</v>
      </c>
      <c r="T65" s="8">
        <v>0.0</v>
      </c>
      <c r="U65" s="8">
        <v>0.0</v>
      </c>
      <c r="V65" s="8">
        <v>0.0</v>
      </c>
      <c r="W65" s="8">
        <v>0.0</v>
      </c>
      <c r="X65" s="8">
        <v>0.0</v>
      </c>
      <c r="Y65" s="8">
        <v>0.0</v>
      </c>
      <c r="Z65" s="8">
        <v>0.0</v>
      </c>
      <c r="AA65" s="8">
        <v>0.0</v>
      </c>
      <c r="AB65" s="8">
        <v>0.0</v>
      </c>
      <c r="AC65" s="8">
        <v>1834611.99</v>
      </c>
      <c r="AD65" s="3" t="s">
        <v>36</v>
      </c>
      <c r="AE65" s="10"/>
      <c r="AF65" s="3">
        <v>0.0</v>
      </c>
      <c r="AG65" s="8">
        <v>12.73</v>
      </c>
      <c r="AH65" s="8">
        <v>18.58</v>
      </c>
    </row>
    <row r="66">
      <c r="A66" s="3">
        <v>65.0</v>
      </c>
      <c r="B66" s="8">
        <v>1834611.99</v>
      </c>
      <c r="C66" s="8">
        <v>1834611.99</v>
      </c>
      <c r="D66" s="8">
        <v>286390.26</v>
      </c>
      <c r="E66" s="8">
        <v>1548221.73</v>
      </c>
      <c r="F66" s="8">
        <v>0.0</v>
      </c>
      <c r="G66" s="8">
        <v>0.0</v>
      </c>
      <c r="H66" s="8">
        <v>0.0</v>
      </c>
      <c r="I66" s="8">
        <v>1.4565752851E8</v>
      </c>
      <c r="J66" s="8">
        <v>1.4565752851E8</v>
      </c>
      <c r="K66" s="8">
        <v>0.0</v>
      </c>
      <c r="L66" s="8">
        <v>0.0</v>
      </c>
      <c r="M66" s="8">
        <v>0.0</v>
      </c>
      <c r="N66" s="8">
        <v>0.0</v>
      </c>
      <c r="O66" s="11">
        <v>47904.0</v>
      </c>
      <c r="P66" s="10"/>
      <c r="Q66" s="8">
        <v>0.0</v>
      </c>
      <c r="R66" s="8">
        <v>286390.26</v>
      </c>
      <c r="S66" s="8">
        <v>1548221.73</v>
      </c>
      <c r="T66" s="8">
        <v>0.0</v>
      </c>
      <c r="U66" s="8">
        <v>0.0</v>
      </c>
      <c r="V66" s="8">
        <v>0.0</v>
      </c>
      <c r="W66" s="8">
        <v>0.0</v>
      </c>
      <c r="X66" s="8">
        <v>0.0</v>
      </c>
      <c r="Y66" s="8">
        <v>0.0</v>
      </c>
      <c r="Z66" s="8">
        <v>0.0</v>
      </c>
      <c r="AA66" s="8">
        <v>0.0</v>
      </c>
      <c r="AB66" s="8">
        <v>0.0</v>
      </c>
      <c r="AC66" s="8">
        <v>1834611.99</v>
      </c>
      <c r="AD66" s="3" t="s">
        <v>36</v>
      </c>
      <c r="AE66" s="10"/>
      <c r="AF66" s="3">
        <v>0.0</v>
      </c>
      <c r="AG66" s="8">
        <v>12.73</v>
      </c>
      <c r="AH66" s="8">
        <v>18.58</v>
      </c>
    </row>
    <row r="67">
      <c r="A67" s="3">
        <v>66.0</v>
      </c>
      <c r="B67" s="8">
        <v>1834611.99</v>
      </c>
      <c r="C67" s="8">
        <v>1834611.99</v>
      </c>
      <c r="D67" s="8">
        <v>289428.38</v>
      </c>
      <c r="E67" s="8">
        <v>1545183.61</v>
      </c>
      <c r="F67" s="8">
        <v>0.0</v>
      </c>
      <c r="G67" s="8">
        <v>0.0</v>
      </c>
      <c r="H67" s="8">
        <v>0.0</v>
      </c>
      <c r="I67" s="8">
        <v>1.4536810013E8</v>
      </c>
      <c r="J67" s="8">
        <v>1.4536810013E8</v>
      </c>
      <c r="K67" s="8">
        <v>0.0</v>
      </c>
      <c r="L67" s="8">
        <v>0.0</v>
      </c>
      <c r="M67" s="8">
        <v>0.0</v>
      </c>
      <c r="N67" s="8">
        <v>0.0</v>
      </c>
      <c r="O67" s="11">
        <v>47932.0</v>
      </c>
      <c r="P67" s="10"/>
      <c r="Q67" s="8">
        <v>0.0</v>
      </c>
      <c r="R67" s="8">
        <v>289428.38</v>
      </c>
      <c r="S67" s="8">
        <v>1545183.61</v>
      </c>
      <c r="T67" s="8">
        <v>0.0</v>
      </c>
      <c r="U67" s="8">
        <v>0.0</v>
      </c>
      <c r="V67" s="8">
        <v>0.0</v>
      </c>
      <c r="W67" s="8">
        <v>0.0</v>
      </c>
      <c r="X67" s="8">
        <v>0.0</v>
      </c>
      <c r="Y67" s="8">
        <v>0.0</v>
      </c>
      <c r="Z67" s="8">
        <v>0.0</v>
      </c>
      <c r="AA67" s="8">
        <v>0.0</v>
      </c>
      <c r="AB67" s="8">
        <v>0.0</v>
      </c>
      <c r="AC67" s="8">
        <v>1834611.99</v>
      </c>
      <c r="AD67" s="3" t="s">
        <v>36</v>
      </c>
      <c r="AE67" s="10"/>
      <c r="AF67" s="3">
        <v>0.0</v>
      </c>
      <c r="AG67" s="8">
        <v>12.73</v>
      </c>
      <c r="AH67" s="8">
        <v>18.58</v>
      </c>
    </row>
    <row r="68">
      <c r="A68" s="3">
        <v>67.0</v>
      </c>
      <c r="B68" s="8">
        <v>1834611.99</v>
      </c>
      <c r="C68" s="8">
        <v>1834611.99</v>
      </c>
      <c r="D68" s="8">
        <v>292498.73</v>
      </c>
      <c r="E68" s="8">
        <v>1542113.26</v>
      </c>
      <c r="F68" s="8">
        <v>0.0</v>
      </c>
      <c r="G68" s="8">
        <v>0.0</v>
      </c>
      <c r="H68" s="8">
        <v>0.0</v>
      </c>
      <c r="I68" s="8">
        <v>1.450756014E8</v>
      </c>
      <c r="J68" s="8">
        <v>1.450756014E8</v>
      </c>
      <c r="K68" s="8">
        <v>0.0</v>
      </c>
      <c r="L68" s="8">
        <v>0.0</v>
      </c>
      <c r="M68" s="8">
        <v>0.0</v>
      </c>
      <c r="N68" s="8">
        <v>0.0</v>
      </c>
      <c r="O68" s="11">
        <v>47963.0</v>
      </c>
      <c r="P68" s="10"/>
      <c r="Q68" s="8">
        <v>0.0</v>
      </c>
      <c r="R68" s="8">
        <v>292498.73</v>
      </c>
      <c r="S68" s="8">
        <v>1542113.26</v>
      </c>
      <c r="T68" s="8">
        <v>0.0</v>
      </c>
      <c r="U68" s="8">
        <v>0.0</v>
      </c>
      <c r="V68" s="8">
        <v>0.0</v>
      </c>
      <c r="W68" s="8">
        <v>0.0</v>
      </c>
      <c r="X68" s="8">
        <v>0.0</v>
      </c>
      <c r="Y68" s="8">
        <v>0.0</v>
      </c>
      <c r="Z68" s="8">
        <v>0.0</v>
      </c>
      <c r="AA68" s="8">
        <v>0.0</v>
      </c>
      <c r="AB68" s="8">
        <v>0.0</v>
      </c>
      <c r="AC68" s="8">
        <v>1834611.99</v>
      </c>
      <c r="AD68" s="3" t="s">
        <v>36</v>
      </c>
      <c r="AE68" s="10"/>
      <c r="AF68" s="3">
        <v>0.0</v>
      </c>
      <c r="AG68" s="8">
        <v>12.73</v>
      </c>
      <c r="AH68" s="8">
        <v>18.58</v>
      </c>
    </row>
    <row r="69">
      <c r="A69" s="3">
        <v>68.0</v>
      </c>
      <c r="B69" s="8">
        <v>1834611.99</v>
      </c>
      <c r="C69" s="8">
        <v>1834611.99</v>
      </c>
      <c r="D69" s="8">
        <v>295601.66</v>
      </c>
      <c r="E69" s="8">
        <v>1539010.33</v>
      </c>
      <c r="F69" s="8">
        <v>0.0</v>
      </c>
      <c r="G69" s="8">
        <v>0.0</v>
      </c>
      <c r="H69" s="8">
        <v>0.0</v>
      </c>
      <c r="I69" s="8">
        <v>1.4477999974E8</v>
      </c>
      <c r="J69" s="8">
        <v>1.4477999974E8</v>
      </c>
      <c r="K69" s="8">
        <v>0.0</v>
      </c>
      <c r="L69" s="8">
        <v>0.0</v>
      </c>
      <c r="M69" s="8">
        <v>0.0</v>
      </c>
      <c r="N69" s="8">
        <v>0.0</v>
      </c>
      <c r="O69" s="11">
        <v>47993.0</v>
      </c>
      <c r="P69" s="10"/>
      <c r="Q69" s="8">
        <v>0.0</v>
      </c>
      <c r="R69" s="8">
        <v>295601.66</v>
      </c>
      <c r="S69" s="8">
        <v>1539010.33</v>
      </c>
      <c r="T69" s="8">
        <v>0.0</v>
      </c>
      <c r="U69" s="8">
        <v>0.0</v>
      </c>
      <c r="V69" s="8">
        <v>0.0</v>
      </c>
      <c r="W69" s="8">
        <v>0.0</v>
      </c>
      <c r="X69" s="8">
        <v>0.0</v>
      </c>
      <c r="Y69" s="8">
        <v>0.0</v>
      </c>
      <c r="Z69" s="8">
        <v>0.0</v>
      </c>
      <c r="AA69" s="8">
        <v>0.0</v>
      </c>
      <c r="AB69" s="8">
        <v>0.0</v>
      </c>
      <c r="AC69" s="8">
        <v>1834611.99</v>
      </c>
      <c r="AD69" s="3" t="s">
        <v>36</v>
      </c>
      <c r="AE69" s="10"/>
      <c r="AF69" s="3">
        <v>0.0</v>
      </c>
      <c r="AG69" s="8">
        <v>12.73</v>
      </c>
      <c r="AH69" s="8">
        <v>18.58</v>
      </c>
    </row>
    <row r="70">
      <c r="A70" s="3">
        <v>69.0</v>
      </c>
      <c r="B70" s="8">
        <v>1834611.99</v>
      </c>
      <c r="C70" s="8">
        <v>1834611.99</v>
      </c>
      <c r="D70" s="8">
        <v>298737.5</v>
      </c>
      <c r="E70" s="8">
        <v>1535874.49</v>
      </c>
      <c r="F70" s="8">
        <v>0.0</v>
      </c>
      <c r="G70" s="8">
        <v>0.0</v>
      </c>
      <c r="H70" s="8">
        <v>0.0</v>
      </c>
      <c r="I70" s="8">
        <v>1.4448126224E8</v>
      </c>
      <c r="J70" s="8">
        <v>1.4448126224E8</v>
      </c>
      <c r="K70" s="8">
        <v>0.0</v>
      </c>
      <c r="L70" s="8">
        <v>0.0</v>
      </c>
      <c r="M70" s="8">
        <v>0.0</v>
      </c>
      <c r="N70" s="8">
        <v>0.0</v>
      </c>
      <c r="O70" s="11">
        <v>48024.0</v>
      </c>
      <c r="P70" s="10"/>
      <c r="Q70" s="8">
        <v>0.0</v>
      </c>
      <c r="R70" s="8">
        <v>298737.5</v>
      </c>
      <c r="S70" s="8">
        <v>1535874.49</v>
      </c>
      <c r="T70" s="8">
        <v>0.0</v>
      </c>
      <c r="U70" s="8">
        <v>0.0</v>
      </c>
      <c r="V70" s="8">
        <v>0.0</v>
      </c>
      <c r="W70" s="8">
        <v>0.0</v>
      </c>
      <c r="X70" s="8">
        <v>0.0</v>
      </c>
      <c r="Y70" s="8">
        <v>0.0</v>
      </c>
      <c r="Z70" s="8">
        <v>0.0</v>
      </c>
      <c r="AA70" s="8">
        <v>0.0</v>
      </c>
      <c r="AB70" s="8">
        <v>0.0</v>
      </c>
      <c r="AC70" s="8">
        <v>1834611.99</v>
      </c>
      <c r="AD70" s="3" t="s">
        <v>36</v>
      </c>
      <c r="AE70" s="10"/>
      <c r="AF70" s="3">
        <v>0.0</v>
      </c>
      <c r="AG70" s="8">
        <v>12.73</v>
      </c>
      <c r="AH70" s="8">
        <v>18.58</v>
      </c>
    </row>
    <row r="71">
      <c r="A71" s="3">
        <v>70.0</v>
      </c>
      <c r="B71" s="8">
        <v>1834611.99</v>
      </c>
      <c r="C71" s="8">
        <v>1834611.99</v>
      </c>
      <c r="D71" s="8">
        <v>301906.6</v>
      </c>
      <c r="E71" s="8">
        <v>1532705.39</v>
      </c>
      <c r="F71" s="8">
        <v>0.0</v>
      </c>
      <c r="G71" s="8">
        <v>0.0</v>
      </c>
      <c r="H71" s="8">
        <v>0.0</v>
      </c>
      <c r="I71" s="8">
        <v>1.4417935564E8</v>
      </c>
      <c r="J71" s="8">
        <v>1.4417935564E8</v>
      </c>
      <c r="K71" s="8">
        <v>0.0</v>
      </c>
      <c r="L71" s="8">
        <v>0.0</v>
      </c>
      <c r="M71" s="8">
        <v>0.0</v>
      </c>
      <c r="N71" s="8">
        <v>0.0</v>
      </c>
      <c r="O71" s="11">
        <v>48054.0</v>
      </c>
      <c r="P71" s="10"/>
      <c r="Q71" s="8">
        <v>0.0</v>
      </c>
      <c r="R71" s="8">
        <v>301906.6</v>
      </c>
      <c r="S71" s="8">
        <v>1532705.39</v>
      </c>
      <c r="T71" s="8">
        <v>0.0</v>
      </c>
      <c r="U71" s="8">
        <v>0.0</v>
      </c>
      <c r="V71" s="8">
        <v>0.0</v>
      </c>
      <c r="W71" s="8">
        <v>0.0</v>
      </c>
      <c r="X71" s="8">
        <v>0.0</v>
      </c>
      <c r="Y71" s="8">
        <v>0.0</v>
      </c>
      <c r="Z71" s="8">
        <v>0.0</v>
      </c>
      <c r="AA71" s="8">
        <v>0.0</v>
      </c>
      <c r="AB71" s="8">
        <v>0.0</v>
      </c>
      <c r="AC71" s="8">
        <v>1834611.99</v>
      </c>
      <c r="AD71" s="3" t="s">
        <v>36</v>
      </c>
      <c r="AE71" s="10"/>
      <c r="AF71" s="3">
        <v>0.0</v>
      </c>
      <c r="AG71" s="8">
        <v>12.73</v>
      </c>
      <c r="AH71" s="8">
        <v>18.58</v>
      </c>
    </row>
    <row r="72">
      <c r="A72" s="3">
        <v>71.0</v>
      </c>
      <c r="B72" s="8">
        <v>1834611.99</v>
      </c>
      <c r="C72" s="8">
        <v>1834611.99</v>
      </c>
      <c r="D72" s="8">
        <v>305109.33</v>
      </c>
      <c r="E72" s="8">
        <v>1529502.66</v>
      </c>
      <c r="F72" s="8">
        <v>0.0</v>
      </c>
      <c r="G72" s="8">
        <v>0.0</v>
      </c>
      <c r="H72" s="8">
        <v>0.0</v>
      </c>
      <c r="I72" s="8">
        <v>1.4387424631E8</v>
      </c>
      <c r="J72" s="8">
        <v>1.4387424631E8</v>
      </c>
      <c r="K72" s="8">
        <v>0.0</v>
      </c>
      <c r="L72" s="8">
        <v>0.0</v>
      </c>
      <c r="M72" s="8">
        <v>0.0</v>
      </c>
      <c r="N72" s="8">
        <v>0.0</v>
      </c>
      <c r="O72" s="11">
        <v>48085.0</v>
      </c>
      <c r="P72" s="10"/>
      <c r="Q72" s="8">
        <v>0.0</v>
      </c>
      <c r="R72" s="8">
        <v>305109.33</v>
      </c>
      <c r="S72" s="8">
        <v>1529502.66</v>
      </c>
      <c r="T72" s="8">
        <v>0.0</v>
      </c>
      <c r="U72" s="8">
        <v>0.0</v>
      </c>
      <c r="V72" s="8">
        <v>0.0</v>
      </c>
      <c r="W72" s="8">
        <v>0.0</v>
      </c>
      <c r="X72" s="8">
        <v>0.0</v>
      </c>
      <c r="Y72" s="8">
        <v>0.0</v>
      </c>
      <c r="Z72" s="8">
        <v>0.0</v>
      </c>
      <c r="AA72" s="8">
        <v>0.0</v>
      </c>
      <c r="AB72" s="8">
        <v>0.0</v>
      </c>
      <c r="AC72" s="8">
        <v>1834611.99</v>
      </c>
      <c r="AD72" s="3" t="s">
        <v>36</v>
      </c>
      <c r="AE72" s="10"/>
      <c r="AF72" s="3">
        <v>0.0</v>
      </c>
      <c r="AG72" s="8">
        <v>12.73</v>
      </c>
      <c r="AH72" s="8">
        <v>18.58</v>
      </c>
    </row>
    <row r="73">
      <c r="A73" s="3">
        <v>72.0</v>
      </c>
      <c r="B73" s="8">
        <v>1834611.99</v>
      </c>
      <c r="C73" s="8">
        <v>1834611.99</v>
      </c>
      <c r="D73" s="8">
        <v>308346.03</v>
      </c>
      <c r="E73" s="8">
        <v>1526265.96</v>
      </c>
      <c r="F73" s="8">
        <v>0.0</v>
      </c>
      <c r="G73" s="8">
        <v>0.0</v>
      </c>
      <c r="H73" s="8">
        <v>0.0</v>
      </c>
      <c r="I73" s="8">
        <v>1.4356590028E8</v>
      </c>
      <c r="J73" s="8">
        <v>1.4356590028E8</v>
      </c>
      <c r="K73" s="8">
        <v>0.0</v>
      </c>
      <c r="L73" s="8">
        <v>0.0</v>
      </c>
      <c r="M73" s="8">
        <v>0.0</v>
      </c>
      <c r="N73" s="8">
        <v>0.0</v>
      </c>
      <c r="O73" s="11">
        <v>48116.0</v>
      </c>
      <c r="P73" s="10"/>
      <c r="Q73" s="8">
        <v>0.0</v>
      </c>
      <c r="R73" s="8">
        <v>308346.03</v>
      </c>
      <c r="S73" s="8">
        <v>1526265.96</v>
      </c>
      <c r="T73" s="8">
        <v>0.0</v>
      </c>
      <c r="U73" s="8">
        <v>0.0</v>
      </c>
      <c r="V73" s="8">
        <v>0.0</v>
      </c>
      <c r="W73" s="8">
        <v>0.0</v>
      </c>
      <c r="X73" s="8">
        <v>0.0</v>
      </c>
      <c r="Y73" s="8">
        <v>0.0</v>
      </c>
      <c r="Z73" s="8">
        <v>0.0</v>
      </c>
      <c r="AA73" s="8">
        <v>0.0</v>
      </c>
      <c r="AB73" s="8">
        <v>0.0</v>
      </c>
      <c r="AC73" s="8">
        <v>1834611.99</v>
      </c>
      <c r="AD73" s="3" t="s">
        <v>36</v>
      </c>
      <c r="AE73" s="10"/>
      <c r="AF73" s="3">
        <v>0.0</v>
      </c>
      <c r="AG73" s="8">
        <v>12.73</v>
      </c>
      <c r="AH73" s="8">
        <v>18.58</v>
      </c>
    </row>
    <row r="74">
      <c r="A74" s="3">
        <v>73.0</v>
      </c>
      <c r="B74" s="8">
        <v>1834611.99</v>
      </c>
      <c r="C74" s="8">
        <v>1834611.99</v>
      </c>
      <c r="D74" s="8">
        <v>311617.07</v>
      </c>
      <c r="E74" s="8">
        <v>1522994.92</v>
      </c>
      <c r="F74" s="8">
        <v>0.0</v>
      </c>
      <c r="G74" s="8">
        <v>0.0</v>
      </c>
      <c r="H74" s="8">
        <v>0.0</v>
      </c>
      <c r="I74" s="8">
        <v>1.4325428321E8</v>
      </c>
      <c r="J74" s="8">
        <v>1.4325428321E8</v>
      </c>
      <c r="K74" s="8">
        <v>0.0</v>
      </c>
      <c r="L74" s="8">
        <v>0.0</v>
      </c>
      <c r="M74" s="8">
        <v>0.0</v>
      </c>
      <c r="N74" s="8">
        <v>0.0</v>
      </c>
      <c r="O74" s="9">
        <v>48146.0</v>
      </c>
      <c r="P74" s="10"/>
      <c r="Q74" s="8">
        <v>0.0</v>
      </c>
      <c r="R74" s="8">
        <v>311617.07</v>
      </c>
      <c r="S74" s="8">
        <v>1522994.92</v>
      </c>
      <c r="T74" s="8">
        <v>0.0</v>
      </c>
      <c r="U74" s="8">
        <v>0.0</v>
      </c>
      <c r="V74" s="8">
        <v>0.0</v>
      </c>
      <c r="W74" s="8">
        <v>0.0</v>
      </c>
      <c r="X74" s="8">
        <v>0.0</v>
      </c>
      <c r="Y74" s="8">
        <v>0.0</v>
      </c>
      <c r="Z74" s="8">
        <v>0.0</v>
      </c>
      <c r="AA74" s="8">
        <v>0.0</v>
      </c>
      <c r="AB74" s="8">
        <v>0.0</v>
      </c>
      <c r="AC74" s="8">
        <v>1834611.99</v>
      </c>
      <c r="AD74" s="3" t="s">
        <v>36</v>
      </c>
      <c r="AE74" s="10"/>
      <c r="AF74" s="3">
        <v>0.0</v>
      </c>
      <c r="AG74" s="8">
        <v>12.73</v>
      </c>
      <c r="AH74" s="8">
        <v>18.58</v>
      </c>
    </row>
    <row r="75">
      <c r="A75" s="3">
        <v>74.0</v>
      </c>
      <c r="B75" s="8">
        <v>1834611.99</v>
      </c>
      <c r="C75" s="8">
        <v>1834611.99</v>
      </c>
      <c r="D75" s="8">
        <v>314922.81</v>
      </c>
      <c r="E75" s="8">
        <v>1519689.18</v>
      </c>
      <c r="F75" s="8">
        <v>0.0</v>
      </c>
      <c r="G75" s="8">
        <v>0.0</v>
      </c>
      <c r="H75" s="8">
        <v>0.0</v>
      </c>
      <c r="I75" s="8">
        <v>1.429393604E8</v>
      </c>
      <c r="J75" s="8">
        <v>1.429393604E8</v>
      </c>
      <c r="K75" s="8">
        <v>0.0</v>
      </c>
      <c r="L75" s="8">
        <v>0.0</v>
      </c>
      <c r="M75" s="8">
        <v>0.0</v>
      </c>
      <c r="N75" s="8">
        <v>0.0</v>
      </c>
      <c r="O75" s="9">
        <v>48177.0</v>
      </c>
      <c r="P75" s="10"/>
      <c r="Q75" s="8">
        <v>0.0</v>
      </c>
      <c r="R75" s="8">
        <v>314922.81</v>
      </c>
      <c r="S75" s="8">
        <v>1519689.18</v>
      </c>
      <c r="T75" s="8">
        <v>0.0</v>
      </c>
      <c r="U75" s="8">
        <v>0.0</v>
      </c>
      <c r="V75" s="8">
        <v>0.0</v>
      </c>
      <c r="W75" s="8">
        <v>0.0</v>
      </c>
      <c r="X75" s="8">
        <v>0.0</v>
      </c>
      <c r="Y75" s="8">
        <v>0.0</v>
      </c>
      <c r="Z75" s="8">
        <v>0.0</v>
      </c>
      <c r="AA75" s="8">
        <v>0.0</v>
      </c>
      <c r="AB75" s="8">
        <v>0.0</v>
      </c>
      <c r="AC75" s="8">
        <v>1834611.99</v>
      </c>
      <c r="AD75" s="3" t="s">
        <v>36</v>
      </c>
      <c r="AE75" s="10"/>
      <c r="AF75" s="3">
        <v>0.0</v>
      </c>
      <c r="AG75" s="8">
        <v>12.73</v>
      </c>
      <c r="AH75" s="8">
        <v>18.58</v>
      </c>
    </row>
    <row r="76">
      <c r="A76" s="3">
        <v>75.0</v>
      </c>
      <c r="B76" s="8">
        <v>1834611.99</v>
      </c>
      <c r="C76" s="8">
        <v>1834611.99</v>
      </c>
      <c r="D76" s="8">
        <v>318263.61</v>
      </c>
      <c r="E76" s="8">
        <v>1516348.38</v>
      </c>
      <c r="F76" s="8">
        <v>0.0</v>
      </c>
      <c r="G76" s="8">
        <v>0.0</v>
      </c>
      <c r="H76" s="8">
        <v>0.0</v>
      </c>
      <c r="I76" s="8">
        <v>1.4262109679E8</v>
      </c>
      <c r="J76" s="8">
        <v>1.4262109679E8</v>
      </c>
      <c r="K76" s="8">
        <v>0.0</v>
      </c>
      <c r="L76" s="8">
        <v>0.0</v>
      </c>
      <c r="M76" s="8">
        <v>0.0</v>
      </c>
      <c r="N76" s="8">
        <v>0.0</v>
      </c>
      <c r="O76" s="9">
        <v>48207.0</v>
      </c>
      <c r="P76" s="10"/>
      <c r="Q76" s="8">
        <v>0.0</v>
      </c>
      <c r="R76" s="8">
        <v>318263.61</v>
      </c>
      <c r="S76" s="8">
        <v>1516348.38</v>
      </c>
      <c r="T76" s="8">
        <v>0.0</v>
      </c>
      <c r="U76" s="8">
        <v>0.0</v>
      </c>
      <c r="V76" s="8">
        <v>0.0</v>
      </c>
      <c r="W76" s="8">
        <v>0.0</v>
      </c>
      <c r="X76" s="8">
        <v>0.0</v>
      </c>
      <c r="Y76" s="8">
        <v>0.0</v>
      </c>
      <c r="Z76" s="8">
        <v>0.0</v>
      </c>
      <c r="AA76" s="8">
        <v>0.0</v>
      </c>
      <c r="AB76" s="8">
        <v>0.0</v>
      </c>
      <c r="AC76" s="8">
        <v>1834611.99</v>
      </c>
      <c r="AD76" s="3" t="s">
        <v>36</v>
      </c>
      <c r="AE76" s="10"/>
      <c r="AF76" s="3">
        <v>0.0</v>
      </c>
      <c r="AG76" s="8">
        <v>12.73</v>
      </c>
      <c r="AH76" s="8">
        <v>18.58</v>
      </c>
    </row>
    <row r="77">
      <c r="A77" s="3">
        <v>76.0</v>
      </c>
      <c r="B77" s="8">
        <v>1834611.99</v>
      </c>
      <c r="C77" s="8">
        <v>1834611.99</v>
      </c>
      <c r="D77" s="8">
        <v>321639.86</v>
      </c>
      <c r="E77" s="8">
        <v>1512972.13</v>
      </c>
      <c r="F77" s="8">
        <v>0.0</v>
      </c>
      <c r="G77" s="8">
        <v>0.0</v>
      </c>
      <c r="H77" s="8">
        <v>0.0</v>
      </c>
      <c r="I77" s="8">
        <v>1.4229945693E8</v>
      </c>
      <c r="J77" s="8">
        <v>1.4229945693E8</v>
      </c>
      <c r="K77" s="8">
        <v>0.0</v>
      </c>
      <c r="L77" s="8">
        <v>0.0</v>
      </c>
      <c r="M77" s="8">
        <v>0.0</v>
      </c>
      <c r="N77" s="8">
        <v>0.0</v>
      </c>
      <c r="O77" s="11">
        <v>48238.0</v>
      </c>
      <c r="P77" s="10"/>
      <c r="Q77" s="8">
        <v>0.0</v>
      </c>
      <c r="R77" s="8">
        <v>321639.86</v>
      </c>
      <c r="S77" s="8">
        <v>1512972.13</v>
      </c>
      <c r="T77" s="8">
        <v>0.0</v>
      </c>
      <c r="U77" s="8">
        <v>0.0</v>
      </c>
      <c r="V77" s="8">
        <v>0.0</v>
      </c>
      <c r="W77" s="8">
        <v>0.0</v>
      </c>
      <c r="X77" s="8">
        <v>0.0</v>
      </c>
      <c r="Y77" s="8">
        <v>0.0</v>
      </c>
      <c r="Z77" s="8">
        <v>0.0</v>
      </c>
      <c r="AA77" s="8">
        <v>0.0</v>
      </c>
      <c r="AB77" s="8">
        <v>0.0</v>
      </c>
      <c r="AC77" s="8">
        <v>1834611.99</v>
      </c>
      <c r="AD77" s="3" t="s">
        <v>36</v>
      </c>
      <c r="AE77" s="10"/>
      <c r="AF77" s="3">
        <v>0.0</v>
      </c>
      <c r="AG77" s="8">
        <v>12.73</v>
      </c>
      <c r="AH77" s="8">
        <v>18.58</v>
      </c>
    </row>
    <row r="78">
      <c r="A78" s="3">
        <v>77.0</v>
      </c>
      <c r="B78" s="8">
        <v>1834611.99</v>
      </c>
      <c r="C78" s="8">
        <v>1834611.99</v>
      </c>
      <c r="D78" s="8">
        <v>325051.92</v>
      </c>
      <c r="E78" s="8">
        <v>1509560.07</v>
      </c>
      <c r="F78" s="8">
        <v>0.0</v>
      </c>
      <c r="G78" s="8">
        <v>0.0</v>
      </c>
      <c r="H78" s="8">
        <v>0.0</v>
      </c>
      <c r="I78" s="8">
        <v>1.4197440501E8</v>
      </c>
      <c r="J78" s="8">
        <v>1.4197440501E8</v>
      </c>
      <c r="K78" s="8">
        <v>0.0</v>
      </c>
      <c r="L78" s="8">
        <v>0.0</v>
      </c>
      <c r="M78" s="8">
        <v>0.0</v>
      </c>
      <c r="N78" s="8">
        <v>0.0</v>
      </c>
      <c r="O78" s="11">
        <v>48269.0</v>
      </c>
      <c r="P78" s="10"/>
      <c r="Q78" s="8">
        <v>0.0</v>
      </c>
      <c r="R78" s="8">
        <v>325051.92</v>
      </c>
      <c r="S78" s="8">
        <v>1509560.07</v>
      </c>
      <c r="T78" s="8">
        <v>0.0</v>
      </c>
      <c r="U78" s="8">
        <v>0.0</v>
      </c>
      <c r="V78" s="8">
        <v>0.0</v>
      </c>
      <c r="W78" s="8">
        <v>0.0</v>
      </c>
      <c r="X78" s="8">
        <v>0.0</v>
      </c>
      <c r="Y78" s="8">
        <v>0.0</v>
      </c>
      <c r="Z78" s="8">
        <v>0.0</v>
      </c>
      <c r="AA78" s="8">
        <v>0.0</v>
      </c>
      <c r="AB78" s="8">
        <v>0.0</v>
      </c>
      <c r="AC78" s="8">
        <v>1834611.99</v>
      </c>
      <c r="AD78" s="3" t="s">
        <v>36</v>
      </c>
      <c r="AE78" s="10"/>
      <c r="AF78" s="3">
        <v>0.0</v>
      </c>
      <c r="AG78" s="8">
        <v>12.73</v>
      </c>
      <c r="AH78" s="8">
        <v>18.58</v>
      </c>
    </row>
    <row r="79">
      <c r="A79" s="3">
        <v>78.0</v>
      </c>
      <c r="B79" s="8">
        <v>1834611.99</v>
      </c>
      <c r="C79" s="8">
        <v>1834611.99</v>
      </c>
      <c r="D79" s="8">
        <v>328500.18</v>
      </c>
      <c r="E79" s="8">
        <v>1506111.81</v>
      </c>
      <c r="F79" s="8">
        <v>0.0</v>
      </c>
      <c r="G79" s="8">
        <v>0.0</v>
      </c>
      <c r="H79" s="8">
        <v>0.0</v>
      </c>
      <c r="I79" s="8">
        <v>1.4164590483E8</v>
      </c>
      <c r="J79" s="8">
        <v>1.4164590483E8</v>
      </c>
      <c r="K79" s="8">
        <v>0.0</v>
      </c>
      <c r="L79" s="8">
        <v>0.0</v>
      </c>
      <c r="M79" s="8">
        <v>0.0</v>
      </c>
      <c r="N79" s="8">
        <v>0.0</v>
      </c>
      <c r="O79" s="11">
        <v>48298.0</v>
      </c>
      <c r="P79" s="10"/>
      <c r="Q79" s="8">
        <v>0.0</v>
      </c>
      <c r="R79" s="8">
        <v>328500.18</v>
      </c>
      <c r="S79" s="8">
        <v>1506111.81</v>
      </c>
      <c r="T79" s="8">
        <v>0.0</v>
      </c>
      <c r="U79" s="8">
        <v>0.0</v>
      </c>
      <c r="V79" s="8">
        <v>0.0</v>
      </c>
      <c r="W79" s="8">
        <v>0.0</v>
      </c>
      <c r="X79" s="8">
        <v>0.0</v>
      </c>
      <c r="Y79" s="8">
        <v>0.0</v>
      </c>
      <c r="Z79" s="8">
        <v>0.0</v>
      </c>
      <c r="AA79" s="8">
        <v>0.0</v>
      </c>
      <c r="AB79" s="8">
        <v>0.0</v>
      </c>
      <c r="AC79" s="8">
        <v>1834611.99</v>
      </c>
      <c r="AD79" s="3" t="s">
        <v>36</v>
      </c>
      <c r="AE79" s="10"/>
      <c r="AF79" s="3">
        <v>0.0</v>
      </c>
      <c r="AG79" s="8">
        <v>12.73</v>
      </c>
      <c r="AH79" s="8">
        <v>18.58</v>
      </c>
    </row>
    <row r="80">
      <c r="A80" s="3">
        <v>79.0</v>
      </c>
      <c r="B80" s="8">
        <v>1834611.99</v>
      </c>
      <c r="C80" s="8">
        <v>1834611.99</v>
      </c>
      <c r="D80" s="8">
        <v>331985.02</v>
      </c>
      <c r="E80" s="8">
        <v>1502626.97</v>
      </c>
      <c r="F80" s="8">
        <v>0.0</v>
      </c>
      <c r="G80" s="8">
        <v>0.0</v>
      </c>
      <c r="H80" s="8">
        <v>0.0</v>
      </c>
      <c r="I80" s="8">
        <v>1.4131391981E8</v>
      </c>
      <c r="J80" s="8">
        <v>1.4131391981E8</v>
      </c>
      <c r="K80" s="8">
        <v>0.0</v>
      </c>
      <c r="L80" s="8">
        <v>0.0</v>
      </c>
      <c r="M80" s="8">
        <v>0.0</v>
      </c>
      <c r="N80" s="8">
        <v>0.0</v>
      </c>
      <c r="O80" s="11">
        <v>48329.0</v>
      </c>
      <c r="P80" s="10"/>
      <c r="Q80" s="8">
        <v>0.0</v>
      </c>
      <c r="R80" s="8">
        <v>331985.02</v>
      </c>
      <c r="S80" s="8">
        <v>1502626.97</v>
      </c>
      <c r="T80" s="8">
        <v>0.0</v>
      </c>
      <c r="U80" s="8">
        <v>0.0</v>
      </c>
      <c r="V80" s="8">
        <v>0.0</v>
      </c>
      <c r="W80" s="8">
        <v>0.0</v>
      </c>
      <c r="X80" s="8">
        <v>0.0</v>
      </c>
      <c r="Y80" s="8">
        <v>0.0</v>
      </c>
      <c r="Z80" s="8">
        <v>0.0</v>
      </c>
      <c r="AA80" s="8">
        <v>0.0</v>
      </c>
      <c r="AB80" s="8">
        <v>0.0</v>
      </c>
      <c r="AC80" s="8">
        <v>1834611.99</v>
      </c>
      <c r="AD80" s="3" t="s">
        <v>36</v>
      </c>
      <c r="AE80" s="10"/>
      <c r="AF80" s="3">
        <v>0.0</v>
      </c>
      <c r="AG80" s="8">
        <v>12.73</v>
      </c>
      <c r="AH80" s="8">
        <v>18.58</v>
      </c>
    </row>
    <row r="81">
      <c r="A81" s="3">
        <v>80.0</v>
      </c>
      <c r="B81" s="8">
        <v>1834611.99</v>
      </c>
      <c r="C81" s="8">
        <v>1834611.99</v>
      </c>
      <c r="D81" s="8">
        <v>335506.83</v>
      </c>
      <c r="E81" s="8">
        <v>1499105.16</v>
      </c>
      <c r="F81" s="8">
        <v>0.0</v>
      </c>
      <c r="G81" s="8">
        <v>0.0</v>
      </c>
      <c r="H81" s="8">
        <v>0.0</v>
      </c>
      <c r="I81" s="8">
        <v>1.4097841298E8</v>
      </c>
      <c r="J81" s="8">
        <v>1.4097841298E8</v>
      </c>
      <c r="K81" s="8">
        <v>0.0</v>
      </c>
      <c r="L81" s="8">
        <v>0.0</v>
      </c>
      <c r="M81" s="8">
        <v>0.0</v>
      </c>
      <c r="N81" s="8">
        <v>0.0</v>
      </c>
      <c r="O81" s="11">
        <v>48359.0</v>
      </c>
      <c r="P81" s="10"/>
      <c r="Q81" s="8">
        <v>0.0</v>
      </c>
      <c r="R81" s="8">
        <v>335506.83</v>
      </c>
      <c r="S81" s="8">
        <v>1499105.16</v>
      </c>
      <c r="T81" s="8">
        <v>0.0</v>
      </c>
      <c r="U81" s="8">
        <v>0.0</v>
      </c>
      <c r="V81" s="8">
        <v>0.0</v>
      </c>
      <c r="W81" s="8">
        <v>0.0</v>
      </c>
      <c r="X81" s="8">
        <v>0.0</v>
      </c>
      <c r="Y81" s="8">
        <v>0.0</v>
      </c>
      <c r="Z81" s="8">
        <v>0.0</v>
      </c>
      <c r="AA81" s="8">
        <v>0.0</v>
      </c>
      <c r="AB81" s="8">
        <v>0.0</v>
      </c>
      <c r="AC81" s="8">
        <v>1834611.99</v>
      </c>
      <c r="AD81" s="3" t="s">
        <v>36</v>
      </c>
      <c r="AE81" s="10"/>
      <c r="AF81" s="3">
        <v>0.0</v>
      </c>
      <c r="AG81" s="8">
        <v>12.73</v>
      </c>
      <c r="AH81" s="8">
        <v>18.58</v>
      </c>
    </row>
    <row r="82">
      <c r="A82" s="3">
        <v>81.0</v>
      </c>
      <c r="B82" s="8">
        <v>1834611.99</v>
      </c>
      <c r="C82" s="8">
        <v>1834611.99</v>
      </c>
      <c r="D82" s="8">
        <v>339066.0</v>
      </c>
      <c r="E82" s="8">
        <v>1495545.99</v>
      </c>
      <c r="F82" s="8">
        <v>0.0</v>
      </c>
      <c r="G82" s="8">
        <v>0.0</v>
      </c>
      <c r="H82" s="8">
        <v>0.0</v>
      </c>
      <c r="I82" s="8">
        <v>1.4063934698E8</v>
      </c>
      <c r="J82" s="8">
        <v>1.4063934698E8</v>
      </c>
      <c r="K82" s="8">
        <v>0.0</v>
      </c>
      <c r="L82" s="8">
        <v>0.0</v>
      </c>
      <c r="M82" s="8">
        <v>0.0</v>
      </c>
      <c r="N82" s="8">
        <v>0.0</v>
      </c>
      <c r="O82" s="11">
        <v>48390.0</v>
      </c>
      <c r="P82" s="10"/>
      <c r="Q82" s="8">
        <v>0.0</v>
      </c>
      <c r="R82" s="8">
        <v>339066.0</v>
      </c>
      <c r="S82" s="8">
        <v>1495545.99</v>
      </c>
      <c r="T82" s="8">
        <v>0.0</v>
      </c>
      <c r="U82" s="8">
        <v>0.0</v>
      </c>
      <c r="V82" s="8">
        <v>0.0</v>
      </c>
      <c r="W82" s="8">
        <v>0.0</v>
      </c>
      <c r="X82" s="8">
        <v>0.0</v>
      </c>
      <c r="Y82" s="8">
        <v>0.0</v>
      </c>
      <c r="Z82" s="8">
        <v>0.0</v>
      </c>
      <c r="AA82" s="8">
        <v>0.0</v>
      </c>
      <c r="AB82" s="8">
        <v>0.0</v>
      </c>
      <c r="AC82" s="8">
        <v>1834611.99</v>
      </c>
      <c r="AD82" s="3" t="s">
        <v>36</v>
      </c>
      <c r="AE82" s="10"/>
      <c r="AF82" s="3">
        <v>0.0</v>
      </c>
      <c r="AG82" s="8">
        <v>12.73</v>
      </c>
      <c r="AH82" s="8">
        <v>18.58</v>
      </c>
    </row>
    <row r="83">
      <c r="A83" s="3">
        <v>82.0</v>
      </c>
      <c r="B83" s="8">
        <v>1834611.99</v>
      </c>
      <c r="C83" s="8">
        <v>1834611.99</v>
      </c>
      <c r="D83" s="8">
        <v>342662.92</v>
      </c>
      <c r="E83" s="8">
        <v>1491949.07</v>
      </c>
      <c r="F83" s="8">
        <v>0.0</v>
      </c>
      <c r="G83" s="8">
        <v>0.0</v>
      </c>
      <c r="H83" s="8">
        <v>0.0</v>
      </c>
      <c r="I83" s="8">
        <v>1.4029668406E8</v>
      </c>
      <c r="J83" s="8">
        <v>1.4029668406E8</v>
      </c>
      <c r="K83" s="8">
        <v>0.0</v>
      </c>
      <c r="L83" s="8">
        <v>0.0</v>
      </c>
      <c r="M83" s="8">
        <v>0.0</v>
      </c>
      <c r="N83" s="8">
        <v>0.0</v>
      </c>
      <c r="O83" s="11">
        <v>48420.0</v>
      </c>
      <c r="P83" s="10"/>
      <c r="Q83" s="8">
        <v>0.0</v>
      </c>
      <c r="R83" s="8">
        <v>342662.92</v>
      </c>
      <c r="S83" s="8">
        <v>1491949.07</v>
      </c>
      <c r="T83" s="8">
        <v>0.0</v>
      </c>
      <c r="U83" s="8">
        <v>0.0</v>
      </c>
      <c r="V83" s="8">
        <v>0.0</v>
      </c>
      <c r="W83" s="8">
        <v>0.0</v>
      </c>
      <c r="X83" s="8">
        <v>0.0</v>
      </c>
      <c r="Y83" s="8">
        <v>0.0</v>
      </c>
      <c r="Z83" s="8">
        <v>0.0</v>
      </c>
      <c r="AA83" s="8">
        <v>0.0</v>
      </c>
      <c r="AB83" s="8">
        <v>0.0</v>
      </c>
      <c r="AC83" s="8">
        <v>1834611.99</v>
      </c>
      <c r="AD83" s="3" t="s">
        <v>36</v>
      </c>
      <c r="AE83" s="10"/>
      <c r="AF83" s="3">
        <v>0.0</v>
      </c>
      <c r="AG83" s="8">
        <v>12.73</v>
      </c>
      <c r="AH83" s="8">
        <v>18.58</v>
      </c>
    </row>
    <row r="84">
      <c r="A84" s="3">
        <v>83.0</v>
      </c>
      <c r="B84" s="8">
        <v>1834611.99</v>
      </c>
      <c r="C84" s="8">
        <v>1834611.99</v>
      </c>
      <c r="D84" s="8">
        <v>346298.0</v>
      </c>
      <c r="E84" s="8">
        <v>1488313.99</v>
      </c>
      <c r="F84" s="8">
        <v>0.0</v>
      </c>
      <c r="G84" s="8">
        <v>0.0</v>
      </c>
      <c r="H84" s="8">
        <v>0.0</v>
      </c>
      <c r="I84" s="8">
        <v>1.3995038606E8</v>
      </c>
      <c r="J84" s="8">
        <v>1.3995038606E8</v>
      </c>
      <c r="K84" s="8">
        <v>0.0</v>
      </c>
      <c r="L84" s="8">
        <v>0.0</v>
      </c>
      <c r="M84" s="8">
        <v>0.0</v>
      </c>
      <c r="N84" s="8">
        <v>0.0</v>
      </c>
      <c r="O84" s="11">
        <v>48451.0</v>
      </c>
      <c r="P84" s="10"/>
      <c r="Q84" s="8">
        <v>0.0</v>
      </c>
      <c r="R84" s="8">
        <v>346298.0</v>
      </c>
      <c r="S84" s="8">
        <v>1488313.99</v>
      </c>
      <c r="T84" s="8">
        <v>0.0</v>
      </c>
      <c r="U84" s="8">
        <v>0.0</v>
      </c>
      <c r="V84" s="8">
        <v>0.0</v>
      </c>
      <c r="W84" s="8">
        <v>0.0</v>
      </c>
      <c r="X84" s="8">
        <v>0.0</v>
      </c>
      <c r="Y84" s="8">
        <v>0.0</v>
      </c>
      <c r="Z84" s="8">
        <v>0.0</v>
      </c>
      <c r="AA84" s="8">
        <v>0.0</v>
      </c>
      <c r="AB84" s="8">
        <v>0.0</v>
      </c>
      <c r="AC84" s="8">
        <v>1834611.99</v>
      </c>
      <c r="AD84" s="3" t="s">
        <v>36</v>
      </c>
      <c r="AE84" s="10"/>
      <c r="AF84" s="3">
        <v>0.0</v>
      </c>
      <c r="AG84" s="8">
        <v>12.73</v>
      </c>
      <c r="AH84" s="8">
        <v>18.58</v>
      </c>
    </row>
    <row r="85">
      <c r="A85" s="3">
        <v>84.0</v>
      </c>
      <c r="B85" s="8">
        <v>1834611.99</v>
      </c>
      <c r="C85" s="8">
        <v>1834611.99</v>
      </c>
      <c r="D85" s="8">
        <v>349971.65</v>
      </c>
      <c r="E85" s="8">
        <v>1484640.34</v>
      </c>
      <c r="F85" s="8">
        <v>0.0</v>
      </c>
      <c r="G85" s="8">
        <v>0.0</v>
      </c>
      <c r="H85" s="8">
        <v>0.0</v>
      </c>
      <c r="I85" s="8">
        <v>1.3960041441E8</v>
      </c>
      <c r="J85" s="8">
        <v>1.3960041441E8</v>
      </c>
      <c r="K85" s="8">
        <v>0.0</v>
      </c>
      <c r="L85" s="8">
        <v>0.0</v>
      </c>
      <c r="M85" s="8">
        <v>0.0</v>
      </c>
      <c r="N85" s="8">
        <v>0.0</v>
      </c>
      <c r="O85" s="11">
        <v>48482.0</v>
      </c>
      <c r="P85" s="10"/>
      <c r="Q85" s="8">
        <v>0.0</v>
      </c>
      <c r="R85" s="8">
        <v>349971.65</v>
      </c>
      <c r="S85" s="8">
        <v>1484640.34</v>
      </c>
      <c r="T85" s="8">
        <v>0.0</v>
      </c>
      <c r="U85" s="8">
        <v>0.0</v>
      </c>
      <c r="V85" s="8">
        <v>0.0</v>
      </c>
      <c r="W85" s="8">
        <v>0.0</v>
      </c>
      <c r="X85" s="8">
        <v>0.0</v>
      </c>
      <c r="Y85" s="8">
        <v>0.0</v>
      </c>
      <c r="Z85" s="8">
        <v>0.0</v>
      </c>
      <c r="AA85" s="8">
        <v>0.0</v>
      </c>
      <c r="AB85" s="8">
        <v>0.0</v>
      </c>
      <c r="AC85" s="8">
        <v>1834611.99</v>
      </c>
      <c r="AD85" s="3" t="s">
        <v>36</v>
      </c>
      <c r="AE85" s="10"/>
      <c r="AF85" s="3">
        <v>0.0</v>
      </c>
      <c r="AG85" s="8">
        <v>12.73</v>
      </c>
      <c r="AH85" s="8">
        <v>18.58</v>
      </c>
    </row>
    <row r="86">
      <c r="A86" s="3">
        <v>85.0</v>
      </c>
      <c r="B86" s="8">
        <v>1834611.99</v>
      </c>
      <c r="C86" s="8">
        <v>1834611.99</v>
      </c>
      <c r="D86" s="8">
        <v>353684.27</v>
      </c>
      <c r="E86" s="8">
        <v>1480927.72</v>
      </c>
      <c r="F86" s="8">
        <v>0.0</v>
      </c>
      <c r="G86" s="8">
        <v>0.0</v>
      </c>
      <c r="H86" s="8">
        <v>0.0</v>
      </c>
      <c r="I86" s="8">
        <v>1.3924673014E8</v>
      </c>
      <c r="J86" s="8">
        <v>1.3924673014E8</v>
      </c>
      <c r="K86" s="8">
        <v>0.0</v>
      </c>
      <c r="L86" s="8">
        <v>0.0</v>
      </c>
      <c r="M86" s="8">
        <v>0.0</v>
      </c>
      <c r="N86" s="8">
        <v>0.0</v>
      </c>
      <c r="O86" s="9">
        <v>48512.0</v>
      </c>
      <c r="P86" s="10"/>
      <c r="Q86" s="8">
        <v>0.0</v>
      </c>
      <c r="R86" s="8">
        <v>353684.27</v>
      </c>
      <c r="S86" s="8">
        <v>1480927.72</v>
      </c>
      <c r="T86" s="8">
        <v>0.0</v>
      </c>
      <c r="U86" s="8">
        <v>0.0</v>
      </c>
      <c r="V86" s="8">
        <v>0.0</v>
      </c>
      <c r="W86" s="8">
        <v>0.0</v>
      </c>
      <c r="X86" s="8">
        <v>0.0</v>
      </c>
      <c r="Y86" s="8">
        <v>0.0</v>
      </c>
      <c r="Z86" s="8">
        <v>0.0</v>
      </c>
      <c r="AA86" s="8">
        <v>0.0</v>
      </c>
      <c r="AB86" s="8">
        <v>0.0</v>
      </c>
      <c r="AC86" s="8">
        <v>1834611.99</v>
      </c>
      <c r="AD86" s="3" t="s">
        <v>36</v>
      </c>
      <c r="AE86" s="10"/>
      <c r="AF86" s="3">
        <v>0.0</v>
      </c>
      <c r="AG86" s="8">
        <v>12.73</v>
      </c>
      <c r="AH86" s="8">
        <v>18.58</v>
      </c>
    </row>
    <row r="87">
      <c r="A87" s="3">
        <v>86.0</v>
      </c>
      <c r="B87" s="8">
        <v>1834611.99</v>
      </c>
      <c r="C87" s="8">
        <v>1834611.99</v>
      </c>
      <c r="D87" s="8">
        <v>357436.27</v>
      </c>
      <c r="E87" s="8">
        <v>1477175.72</v>
      </c>
      <c r="F87" s="8">
        <v>0.0</v>
      </c>
      <c r="G87" s="8">
        <v>0.0</v>
      </c>
      <c r="H87" s="8">
        <v>0.0</v>
      </c>
      <c r="I87" s="8">
        <v>1.3888929387E8</v>
      </c>
      <c r="J87" s="8">
        <v>1.3888929387E8</v>
      </c>
      <c r="K87" s="8">
        <v>0.0</v>
      </c>
      <c r="L87" s="8">
        <v>0.0</v>
      </c>
      <c r="M87" s="8">
        <v>0.0</v>
      </c>
      <c r="N87" s="8">
        <v>0.0</v>
      </c>
      <c r="O87" s="9">
        <v>48543.0</v>
      </c>
      <c r="P87" s="10"/>
      <c r="Q87" s="8">
        <v>0.0</v>
      </c>
      <c r="R87" s="8">
        <v>357436.27</v>
      </c>
      <c r="S87" s="8">
        <v>1477175.72</v>
      </c>
      <c r="T87" s="8">
        <v>0.0</v>
      </c>
      <c r="U87" s="8">
        <v>0.0</v>
      </c>
      <c r="V87" s="8">
        <v>0.0</v>
      </c>
      <c r="W87" s="8">
        <v>0.0</v>
      </c>
      <c r="X87" s="8">
        <v>0.0</v>
      </c>
      <c r="Y87" s="8">
        <v>0.0</v>
      </c>
      <c r="Z87" s="8">
        <v>0.0</v>
      </c>
      <c r="AA87" s="8">
        <v>0.0</v>
      </c>
      <c r="AB87" s="8">
        <v>0.0</v>
      </c>
      <c r="AC87" s="8">
        <v>1834611.99</v>
      </c>
      <c r="AD87" s="3" t="s">
        <v>36</v>
      </c>
      <c r="AE87" s="10"/>
      <c r="AF87" s="3">
        <v>0.0</v>
      </c>
      <c r="AG87" s="8">
        <v>12.73</v>
      </c>
      <c r="AH87" s="8">
        <v>18.58</v>
      </c>
    </row>
    <row r="88">
      <c r="A88" s="3">
        <v>87.0</v>
      </c>
      <c r="B88" s="8">
        <v>1834611.99</v>
      </c>
      <c r="C88" s="8">
        <v>1834611.99</v>
      </c>
      <c r="D88" s="8">
        <v>361228.07</v>
      </c>
      <c r="E88" s="8">
        <v>1473383.92</v>
      </c>
      <c r="F88" s="8">
        <v>0.0</v>
      </c>
      <c r="G88" s="8">
        <v>0.0</v>
      </c>
      <c r="H88" s="8">
        <v>0.0</v>
      </c>
      <c r="I88" s="8">
        <v>1.385280658E8</v>
      </c>
      <c r="J88" s="8">
        <v>1.385280658E8</v>
      </c>
      <c r="K88" s="8">
        <v>0.0</v>
      </c>
      <c r="L88" s="8">
        <v>0.0</v>
      </c>
      <c r="M88" s="8">
        <v>0.0</v>
      </c>
      <c r="N88" s="8">
        <v>0.0</v>
      </c>
      <c r="O88" s="9">
        <v>48573.0</v>
      </c>
      <c r="P88" s="10"/>
      <c r="Q88" s="8">
        <v>0.0</v>
      </c>
      <c r="R88" s="8">
        <v>361228.07</v>
      </c>
      <c r="S88" s="8">
        <v>1473383.92</v>
      </c>
      <c r="T88" s="8">
        <v>0.0</v>
      </c>
      <c r="U88" s="8">
        <v>0.0</v>
      </c>
      <c r="V88" s="8">
        <v>0.0</v>
      </c>
      <c r="W88" s="8">
        <v>0.0</v>
      </c>
      <c r="X88" s="8">
        <v>0.0</v>
      </c>
      <c r="Y88" s="8">
        <v>0.0</v>
      </c>
      <c r="Z88" s="8">
        <v>0.0</v>
      </c>
      <c r="AA88" s="8">
        <v>0.0</v>
      </c>
      <c r="AB88" s="8">
        <v>0.0</v>
      </c>
      <c r="AC88" s="8">
        <v>1834611.99</v>
      </c>
      <c r="AD88" s="3" t="s">
        <v>36</v>
      </c>
      <c r="AE88" s="10"/>
      <c r="AF88" s="3">
        <v>0.0</v>
      </c>
      <c r="AG88" s="8">
        <v>12.73</v>
      </c>
      <c r="AH88" s="8">
        <v>18.58</v>
      </c>
    </row>
    <row r="89">
      <c r="A89" s="3">
        <v>88.0</v>
      </c>
      <c r="B89" s="8">
        <v>1834611.99</v>
      </c>
      <c r="C89" s="8">
        <v>1834611.99</v>
      </c>
      <c r="D89" s="8">
        <v>365060.1</v>
      </c>
      <c r="E89" s="8">
        <v>1469551.89</v>
      </c>
      <c r="F89" s="8">
        <v>0.0</v>
      </c>
      <c r="G89" s="8">
        <v>0.0</v>
      </c>
      <c r="H89" s="8">
        <v>0.0</v>
      </c>
      <c r="I89" s="8">
        <v>1.381630057E8</v>
      </c>
      <c r="J89" s="8">
        <v>1.381630057E8</v>
      </c>
      <c r="K89" s="8">
        <v>0.0</v>
      </c>
      <c r="L89" s="8">
        <v>0.0</v>
      </c>
      <c r="M89" s="8">
        <v>0.0</v>
      </c>
      <c r="N89" s="8">
        <v>0.0</v>
      </c>
      <c r="O89" s="11">
        <v>48604.0</v>
      </c>
      <c r="P89" s="10"/>
      <c r="Q89" s="8">
        <v>0.0</v>
      </c>
      <c r="R89" s="8">
        <v>365060.1</v>
      </c>
      <c r="S89" s="8">
        <v>1469551.89</v>
      </c>
      <c r="T89" s="8">
        <v>0.0</v>
      </c>
      <c r="U89" s="8">
        <v>0.0</v>
      </c>
      <c r="V89" s="8">
        <v>0.0</v>
      </c>
      <c r="W89" s="8">
        <v>0.0</v>
      </c>
      <c r="X89" s="8">
        <v>0.0</v>
      </c>
      <c r="Y89" s="8">
        <v>0.0</v>
      </c>
      <c r="Z89" s="8">
        <v>0.0</v>
      </c>
      <c r="AA89" s="8">
        <v>0.0</v>
      </c>
      <c r="AB89" s="8">
        <v>0.0</v>
      </c>
      <c r="AC89" s="8">
        <v>1834611.99</v>
      </c>
      <c r="AD89" s="3" t="s">
        <v>36</v>
      </c>
      <c r="AE89" s="10"/>
      <c r="AF89" s="3">
        <v>0.0</v>
      </c>
      <c r="AG89" s="8">
        <v>12.73</v>
      </c>
      <c r="AH89" s="8">
        <v>18.58</v>
      </c>
    </row>
    <row r="90">
      <c r="A90" s="3">
        <v>89.0</v>
      </c>
      <c r="B90" s="8">
        <v>1834611.99</v>
      </c>
      <c r="C90" s="8">
        <v>1834611.99</v>
      </c>
      <c r="D90" s="8">
        <v>368932.78</v>
      </c>
      <c r="E90" s="8">
        <v>1465679.21</v>
      </c>
      <c r="F90" s="8">
        <v>0.0</v>
      </c>
      <c r="G90" s="8">
        <v>0.0</v>
      </c>
      <c r="H90" s="8">
        <v>0.0</v>
      </c>
      <c r="I90" s="8">
        <v>1.3779407292E8</v>
      </c>
      <c r="J90" s="8">
        <v>1.3779407292E8</v>
      </c>
      <c r="K90" s="8">
        <v>0.0</v>
      </c>
      <c r="L90" s="8">
        <v>0.0</v>
      </c>
      <c r="M90" s="8">
        <v>0.0</v>
      </c>
      <c r="N90" s="8">
        <v>0.0</v>
      </c>
      <c r="O90" s="11">
        <v>48635.0</v>
      </c>
      <c r="P90" s="10"/>
      <c r="Q90" s="8">
        <v>0.0</v>
      </c>
      <c r="R90" s="8">
        <v>368932.78</v>
      </c>
      <c r="S90" s="8">
        <v>1465679.21</v>
      </c>
      <c r="T90" s="8">
        <v>0.0</v>
      </c>
      <c r="U90" s="8">
        <v>0.0</v>
      </c>
      <c r="V90" s="8">
        <v>0.0</v>
      </c>
      <c r="W90" s="8">
        <v>0.0</v>
      </c>
      <c r="X90" s="8">
        <v>0.0</v>
      </c>
      <c r="Y90" s="8">
        <v>0.0</v>
      </c>
      <c r="Z90" s="8">
        <v>0.0</v>
      </c>
      <c r="AA90" s="8">
        <v>0.0</v>
      </c>
      <c r="AB90" s="8">
        <v>0.0</v>
      </c>
      <c r="AC90" s="8">
        <v>1834611.99</v>
      </c>
      <c r="AD90" s="3" t="s">
        <v>36</v>
      </c>
      <c r="AE90" s="10"/>
      <c r="AF90" s="3">
        <v>0.0</v>
      </c>
      <c r="AG90" s="8">
        <v>12.73</v>
      </c>
      <c r="AH90" s="8">
        <v>18.58</v>
      </c>
    </row>
    <row r="91">
      <c r="A91" s="3">
        <v>90.0</v>
      </c>
      <c r="B91" s="8">
        <v>1834611.99</v>
      </c>
      <c r="C91" s="8">
        <v>1834611.99</v>
      </c>
      <c r="D91" s="8">
        <v>372846.54</v>
      </c>
      <c r="E91" s="8">
        <v>1461765.45</v>
      </c>
      <c r="F91" s="8">
        <v>0.0</v>
      </c>
      <c r="G91" s="8">
        <v>0.0</v>
      </c>
      <c r="H91" s="8">
        <v>0.0</v>
      </c>
      <c r="I91" s="8">
        <v>1.3742122638E8</v>
      </c>
      <c r="J91" s="8">
        <v>1.3742122638E8</v>
      </c>
      <c r="K91" s="8">
        <v>0.0</v>
      </c>
      <c r="L91" s="8">
        <v>0.0</v>
      </c>
      <c r="M91" s="8">
        <v>0.0</v>
      </c>
      <c r="N91" s="8">
        <v>0.0</v>
      </c>
      <c r="O91" s="11">
        <v>48663.0</v>
      </c>
      <c r="P91" s="10"/>
      <c r="Q91" s="8">
        <v>0.0</v>
      </c>
      <c r="R91" s="8">
        <v>372846.54</v>
      </c>
      <c r="S91" s="8">
        <v>1461765.45</v>
      </c>
      <c r="T91" s="8">
        <v>0.0</v>
      </c>
      <c r="U91" s="8">
        <v>0.0</v>
      </c>
      <c r="V91" s="8">
        <v>0.0</v>
      </c>
      <c r="W91" s="8">
        <v>0.0</v>
      </c>
      <c r="X91" s="8">
        <v>0.0</v>
      </c>
      <c r="Y91" s="8">
        <v>0.0</v>
      </c>
      <c r="Z91" s="8">
        <v>0.0</v>
      </c>
      <c r="AA91" s="8">
        <v>0.0</v>
      </c>
      <c r="AB91" s="8">
        <v>0.0</v>
      </c>
      <c r="AC91" s="8">
        <v>1834611.99</v>
      </c>
      <c r="AD91" s="3" t="s">
        <v>36</v>
      </c>
      <c r="AE91" s="10"/>
      <c r="AF91" s="3">
        <v>0.0</v>
      </c>
      <c r="AG91" s="8">
        <v>12.73</v>
      </c>
      <c r="AH91" s="8">
        <v>18.58</v>
      </c>
    </row>
    <row r="92">
      <c r="A92" s="3">
        <v>91.0</v>
      </c>
      <c r="B92" s="8">
        <v>1834611.99</v>
      </c>
      <c r="C92" s="8">
        <v>1834611.99</v>
      </c>
      <c r="D92" s="8">
        <v>376801.82</v>
      </c>
      <c r="E92" s="8">
        <v>1457810.17</v>
      </c>
      <c r="F92" s="8">
        <v>0.0</v>
      </c>
      <c r="G92" s="8">
        <v>0.0</v>
      </c>
      <c r="H92" s="8">
        <v>0.0</v>
      </c>
      <c r="I92" s="8">
        <v>1.3704442456E8</v>
      </c>
      <c r="J92" s="8">
        <v>1.3704442456E8</v>
      </c>
      <c r="K92" s="8">
        <v>0.0</v>
      </c>
      <c r="L92" s="8">
        <v>0.0</v>
      </c>
      <c r="M92" s="8">
        <v>0.0</v>
      </c>
      <c r="N92" s="8">
        <v>0.0</v>
      </c>
      <c r="O92" s="11">
        <v>48694.0</v>
      </c>
      <c r="P92" s="10"/>
      <c r="Q92" s="8">
        <v>0.0</v>
      </c>
      <c r="R92" s="8">
        <v>376801.82</v>
      </c>
      <c r="S92" s="8">
        <v>1457810.17</v>
      </c>
      <c r="T92" s="8">
        <v>0.0</v>
      </c>
      <c r="U92" s="8">
        <v>0.0</v>
      </c>
      <c r="V92" s="8">
        <v>0.0</v>
      </c>
      <c r="W92" s="8">
        <v>0.0</v>
      </c>
      <c r="X92" s="8">
        <v>0.0</v>
      </c>
      <c r="Y92" s="8">
        <v>0.0</v>
      </c>
      <c r="Z92" s="8">
        <v>0.0</v>
      </c>
      <c r="AA92" s="8">
        <v>0.0</v>
      </c>
      <c r="AB92" s="8">
        <v>0.0</v>
      </c>
      <c r="AC92" s="8">
        <v>1834611.99</v>
      </c>
      <c r="AD92" s="3" t="s">
        <v>36</v>
      </c>
      <c r="AE92" s="10"/>
      <c r="AF92" s="3">
        <v>0.0</v>
      </c>
      <c r="AG92" s="8">
        <v>12.73</v>
      </c>
      <c r="AH92" s="8">
        <v>18.58</v>
      </c>
    </row>
    <row r="93">
      <c r="A93" s="3">
        <v>92.0</v>
      </c>
      <c r="B93" s="8">
        <v>1834611.99</v>
      </c>
      <c r="C93" s="8">
        <v>1834611.99</v>
      </c>
      <c r="D93" s="8">
        <v>380799.06</v>
      </c>
      <c r="E93" s="8">
        <v>1453812.93</v>
      </c>
      <c r="F93" s="8">
        <v>0.0</v>
      </c>
      <c r="G93" s="8">
        <v>0.0</v>
      </c>
      <c r="H93" s="8">
        <v>0.0</v>
      </c>
      <c r="I93" s="8">
        <v>1.366636255E8</v>
      </c>
      <c r="J93" s="8">
        <v>1.366636255E8</v>
      </c>
      <c r="K93" s="8">
        <v>0.0</v>
      </c>
      <c r="L93" s="8">
        <v>0.0</v>
      </c>
      <c r="M93" s="8">
        <v>0.0</v>
      </c>
      <c r="N93" s="8">
        <v>0.0</v>
      </c>
      <c r="O93" s="11">
        <v>48724.0</v>
      </c>
      <c r="P93" s="10"/>
      <c r="Q93" s="8">
        <v>0.0</v>
      </c>
      <c r="R93" s="8">
        <v>380799.06</v>
      </c>
      <c r="S93" s="8">
        <v>1453812.93</v>
      </c>
      <c r="T93" s="8">
        <v>0.0</v>
      </c>
      <c r="U93" s="8">
        <v>0.0</v>
      </c>
      <c r="V93" s="8">
        <v>0.0</v>
      </c>
      <c r="W93" s="8">
        <v>0.0</v>
      </c>
      <c r="X93" s="8">
        <v>0.0</v>
      </c>
      <c r="Y93" s="8">
        <v>0.0</v>
      </c>
      <c r="Z93" s="8">
        <v>0.0</v>
      </c>
      <c r="AA93" s="8">
        <v>0.0</v>
      </c>
      <c r="AB93" s="8">
        <v>0.0</v>
      </c>
      <c r="AC93" s="8">
        <v>1834611.99</v>
      </c>
      <c r="AD93" s="3" t="s">
        <v>36</v>
      </c>
      <c r="AE93" s="10"/>
      <c r="AF93" s="3">
        <v>0.0</v>
      </c>
      <c r="AG93" s="8">
        <v>12.73</v>
      </c>
      <c r="AH93" s="8">
        <v>18.58</v>
      </c>
    </row>
    <row r="94">
      <c r="A94" s="3">
        <v>93.0</v>
      </c>
      <c r="B94" s="8">
        <v>1834611.99</v>
      </c>
      <c r="C94" s="8">
        <v>1834611.99</v>
      </c>
      <c r="D94" s="8">
        <v>384838.7</v>
      </c>
      <c r="E94" s="8">
        <v>1449773.29</v>
      </c>
      <c r="F94" s="8">
        <v>0.0</v>
      </c>
      <c r="G94" s="8">
        <v>0.0</v>
      </c>
      <c r="H94" s="8">
        <v>0.0</v>
      </c>
      <c r="I94" s="8">
        <v>1.362787868E8</v>
      </c>
      <c r="J94" s="8">
        <v>1.362787868E8</v>
      </c>
      <c r="K94" s="8">
        <v>0.0</v>
      </c>
      <c r="L94" s="8">
        <v>0.0</v>
      </c>
      <c r="M94" s="8">
        <v>0.0</v>
      </c>
      <c r="N94" s="8">
        <v>0.0</v>
      </c>
      <c r="O94" s="11">
        <v>48755.0</v>
      </c>
      <c r="P94" s="10"/>
      <c r="Q94" s="8">
        <v>0.0</v>
      </c>
      <c r="R94" s="8">
        <v>384838.7</v>
      </c>
      <c r="S94" s="8">
        <v>1449773.29</v>
      </c>
      <c r="T94" s="8">
        <v>0.0</v>
      </c>
      <c r="U94" s="8">
        <v>0.0</v>
      </c>
      <c r="V94" s="8">
        <v>0.0</v>
      </c>
      <c r="W94" s="8">
        <v>0.0</v>
      </c>
      <c r="X94" s="8">
        <v>0.0</v>
      </c>
      <c r="Y94" s="8">
        <v>0.0</v>
      </c>
      <c r="Z94" s="8">
        <v>0.0</v>
      </c>
      <c r="AA94" s="8">
        <v>0.0</v>
      </c>
      <c r="AB94" s="8">
        <v>0.0</v>
      </c>
      <c r="AC94" s="8">
        <v>1834611.99</v>
      </c>
      <c r="AD94" s="3" t="s">
        <v>36</v>
      </c>
      <c r="AE94" s="10"/>
      <c r="AF94" s="3">
        <v>0.0</v>
      </c>
      <c r="AG94" s="8">
        <v>12.73</v>
      </c>
      <c r="AH94" s="8">
        <v>18.58</v>
      </c>
    </row>
    <row r="95">
      <c r="A95" s="3">
        <v>94.0</v>
      </c>
      <c r="B95" s="8">
        <v>1834611.99</v>
      </c>
      <c r="C95" s="8">
        <v>1834611.99</v>
      </c>
      <c r="D95" s="8">
        <v>388921.2</v>
      </c>
      <c r="E95" s="8">
        <v>1445690.79</v>
      </c>
      <c r="F95" s="8">
        <v>0.0</v>
      </c>
      <c r="G95" s="8">
        <v>0.0</v>
      </c>
      <c r="H95" s="8">
        <v>0.0</v>
      </c>
      <c r="I95" s="8">
        <v>1.358898656E8</v>
      </c>
      <c r="J95" s="8">
        <v>1.358898656E8</v>
      </c>
      <c r="K95" s="8">
        <v>0.0</v>
      </c>
      <c r="L95" s="8">
        <v>0.0</v>
      </c>
      <c r="M95" s="8">
        <v>0.0</v>
      </c>
      <c r="N95" s="8">
        <v>0.0</v>
      </c>
      <c r="O95" s="11">
        <v>48785.0</v>
      </c>
      <c r="P95" s="10"/>
      <c r="Q95" s="8">
        <v>0.0</v>
      </c>
      <c r="R95" s="8">
        <v>388921.2</v>
      </c>
      <c r="S95" s="8">
        <v>1445690.79</v>
      </c>
      <c r="T95" s="8">
        <v>0.0</v>
      </c>
      <c r="U95" s="8">
        <v>0.0</v>
      </c>
      <c r="V95" s="8">
        <v>0.0</v>
      </c>
      <c r="W95" s="8">
        <v>0.0</v>
      </c>
      <c r="X95" s="8">
        <v>0.0</v>
      </c>
      <c r="Y95" s="8">
        <v>0.0</v>
      </c>
      <c r="Z95" s="8">
        <v>0.0</v>
      </c>
      <c r="AA95" s="8">
        <v>0.0</v>
      </c>
      <c r="AB95" s="8">
        <v>0.0</v>
      </c>
      <c r="AC95" s="8">
        <v>1834611.99</v>
      </c>
      <c r="AD95" s="3" t="s">
        <v>36</v>
      </c>
      <c r="AE95" s="10"/>
      <c r="AF95" s="3">
        <v>0.0</v>
      </c>
      <c r="AG95" s="8">
        <v>12.73</v>
      </c>
      <c r="AH95" s="8">
        <v>18.58</v>
      </c>
    </row>
    <row r="96">
      <c r="A96" s="3">
        <v>95.0</v>
      </c>
      <c r="B96" s="8">
        <v>1834611.99</v>
      </c>
      <c r="C96" s="8">
        <v>1834611.99</v>
      </c>
      <c r="D96" s="8">
        <v>393047.0</v>
      </c>
      <c r="E96" s="8">
        <v>1441564.99</v>
      </c>
      <c r="F96" s="8">
        <v>0.0</v>
      </c>
      <c r="G96" s="8">
        <v>0.0</v>
      </c>
      <c r="H96" s="8">
        <v>0.0</v>
      </c>
      <c r="I96" s="8">
        <v>1.354968186E8</v>
      </c>
      <c r="J96" s="8">
        <v>1.354968186E8</v>
      </c>
      <c r="K96" s="8">
        <v>0.0</v>
      </c>
      <c r="L96" s="8">
        <v>0.0</v>
      </c>
      <c r="M96" s="8">
        <v>0.0</v>
      </c>
      <c r="N96" s="8">
        <v>0.0</v>
      </c>
      <c r="O96" s="11">
        <v>48816.0</v>
      </c>
      <c r="P96" s="10"/>
      <c r="Q96" s="8">
        <v>0.0</v>
      </c>
      <c r="R96" s="8">
        <v>393047.0</v>
      </c>
      <c r="S96" s="8">
        <v>1441564.99</v>
      </c>
      <c r="T96" s="8">
        <v>0.0</v>
      </c>
      <c r="U96" s="8">
        <v>0.0</v>
      </c>
      <c r="V96" s="8">
        <v>0.0</v>
      </c>
      <c r="W96" s="8">
        <v>0.0</v>
      </c>
      <c r="X96" s="8">
        <v>0.0</v>
      </c>
      <c r="Y96" s="8">
        <v>0.0</v>
      </c>
      <c r="Z96" s="8">
        <v>0.0</v>
      </c>
      <c r="AA96" s="8">
        <v>0.0</v>
      </c>
      <c r="AB96" s="8">
        <v>0.0</v>
      </c>
      <c r="AC96" s="8">
        <v>1834611.99</v>
      </c>
      <c r="AD96" s="3" t="s">
        <v>36</v>
      </c>
      <c r="AE96" s="10"/>
      <c r="AF96" s="3">
        <v>0.0</v>
      </c>
      <c r="AG96" s="8">
        <v>12.73</v>
      </c>
      <c r="AH96" s="8">
        <v>18.58</v>
      </c>
    </row>
    <row r="97">
      <c r="A97" s="3">
        <v>96.0</v>
      </c>
      <c r="B97" s="8">
        <v>1834611.99</v>
      </c>
      <c r="C97" s="8">
        <v>1834611.99</v>
      </c>
      <c r="D97" s="8">
        <v>397216.58</v>
      </c>
      <c r="E97" s="8">
        <v>1437395.41</v>
      </c>
      <c r="F97" s="8">
        <v>0.0</v>
      </c>
      <c r="G97" s="8">
        <v>0.0</v>
      </c>
      <c r="H97" s="8">
        <v>0.0</v>
      </c>
      <c r="I97" s="8">
        <v>1.3509960202E8</v>
      </c>
      <c r="J97" s="8">
        <v>1.3509960202E8</v>
      </c>
      <c r="K97" s="8">
        <v>0.0</v>
      </c>
      <c r="L97" s="8">
        <v>0.0</v>
      </c>
      <c r="M97" s="8">
        <v>0.0</v>
      </c>
      <c r="N97" s="8">
        <v>0.0</v>
      </c>
      <c r="O97" s="11">
        <v>48847.0</v>
      </c>
      <c r="P97" s="10"/>
      <c r="Q97" s="8">
        <v>0.0</v>
      </c>
      <c r="R97" s="8">
        <v>397216.58</v>
      </c>
      <c r="S97" s="8">
        <v>1437395.41</v>
      </c>
      <c r="T97" s="8">
        <v>0.0</v>
      </c>
      <c r="U97" s="8">
        <v>0.0</v>
      </c>
      <c r="V97" s="8">
        <v>0.0</v>
      </c>
      <c r="W97" s="8">
        <v>0.0</v>
      </c>
      <c r="X97" s="8">
        <v>0.0</v>
      </c>
      <c r="Y97" s="8">
        <v>0.0</v>
      </c>
      <c r="Z97" s="8">
        <v>0.0</v>
      </c>
      <c r="AA97" s="8">
        <v>0.0</v>
      </c>
      <c r="AB97" s="8">
        <v>0.0</v>
      </c>
      <c r="AC97" s="8">
        <v>1834611.99</v>
      </c>
      <c r="AD97" s="3" t="s">
        <v>36</v>
      </c>
      <c r="AE97" s="10"/>
      <c r="AF97" s="3">
        <v>0.0</v>
      </c>
      <c r="AG97" s="8">
        <v>12.73</v>
      </c>
      <c r="AH97" s="8">
        <v>18.58</v>
      </c>
    </row>
    <row r="98">
      <c r="A98" s="3">
        <v>97.0</v>
      </c>
      <c r="B98" s="8">
        <v>1834611.99</v>
      </c>
      <c r="C98" s="8">
        <v>1834611.99</v>
      </c>
      <c r="D98" s="8">
        <v>401430.38</v>
      </c>
      <c r="E98" s="8">
        <v>1433181.61</v>
      </c>
      <c r="F98" s="8">
        <v>0.0</v>
      </c>
      <c r="G98" s="8">
        <v>0.0</v>
      </c>
      <c r="H98" s="8">
        <v>0.0</v>
      </c>
      <c r="I98" s="8">
        <v>1.3469817164E8</v>
      </c>
      <c r="J98" s="8">
        <v>1.3469817164E8</v>
      </c>
      <c r="K98" s="8">
        <v>0.0</v>
      </c>
      <c r="L98" s="8">
        <v>0.0</v>
      </c>
      <c r="M98" s="8">
        <v>0.0</v>
      </c>
      <c r="N98" s="8">
        <v>0.0</v>
      </c>
      <c r="O98" s="9">
        <v>48877.0</v>
      </c>
      <c r="P98" s="10"/>
      <c r="Q98" s="8">
        <v>0.0</v>
      </c>
      <c r="R98" s="8">
        <v>401430.38</v>
      </c>
      <c r="S98" s="8">
        <v>1433181.61</v>
      </c>
      <c r="T98" s="8">
        <v>0.0</v>
      </c>
      <c r="U98" s="8">
        <v>0.0</v>
      </c>
      <c r="V98" s="8">
        <v>0.0</v>
      </c>
      <c r="W98" s="8">
        <v>0.0</v>
      </c>
      <c r="X98" s="8">
        <v>0.0</v>
      </c>
      <c r="Y98" s="8">
        <v>0.0</v>
      </c>
      <c r="Z98" s="8">
        <v>0.0</v>
      </c>
      <c r="AA98" s="8">
        <v>0.0</v>
      </c>
      <c r="AB98" s="8">
        <v>0.0</v>
      </c>
      <c r="AC98" s="8">
        <v>1834611.99</v>
      </c>
      <c r="AD98" s="3" t="s">
        <v>36</v>
      </c>
      <c r="AE98" s="10"/>
      <c r="AF98" s="3">
        <v>0.0</v>
      </c>
      <c r="AG98" s="8">
        <v>12.73</v>
      </c>
      <c r="AH98" s="8">
        <v>18.58</v>
      </c>
    </row>
    <row r="99">
      <c r="A99" s="3">
        <v>98.0</v>
      </c>
      <c r="B99" s="8">
        <v>1834611.99</v>
      </c>
      <c r="C99" s="8">
        <v>1834611.99</v>
      </c>
      <c r="D99" s="8">
        <v>405688.89</v>
      </c>
      <c r="E99" s="8">
        <v>1428923.1</v>
      </c>
      <c r="F99" s="8">
        <v>0.0</v>
      </c>
      <c r="G99" s="8">
        <v>0.0</v>
      </c>
      <c r="H99" s="8">
        <v>0.0</v>
      </c>
      <c r="I99" s="8">
        <v>1.3429248275E8</v>
      </c>
      <c r="J99" s="8">
        <v>1.3429248275E8</v>
      </c>
      <c r="K99" s="8">
        <v>0.0</v>
      </c>
      <c r="L99" s="8">
        <v>0.0</v>
      </c>
      <c r="M99" s="8">
        <v>0.0</v>
      </c>
      <c r="N99" s="8">
        <v>0.0</v>
      </c>
      <c r="O99" s="9">
        <v>48908.0</v>
      </c>
      <c r="P99" s="10"/>
      <c r="Q99" s="8">
        <v>0.0</v>
      </c>
      <c r="R99" s="8">
        <v>405688.89</v>
      </c>
      <c r="S99" s="8">
        <v>1428923.1</v>
      </c>
      <c r="T99" s="8">
        <v>0.0</v>
      </c>
      <c r="U99" s="8">
        <v>0.0</v>
      </c>
      <c r="V99" s="8">
        <v>0.0</v>
      </c>
      <c r="W99" s="8">
        <v>0.0</v>
      </c>
      <c r="X99" s="8">
        <v>0.0</v>
      </c>
      <c r="Y99" s="8">
        <v>0.0</v>
      </c>
      <c r="Z99" s="8">
        <v>0.0</v>
      </c>
      <c r="AA99" s="8">
        <v>0.0</v>
      </c>
      <c r="AB99" s="8">
        <v>0.0</v>
      </c>
      <c r="AC99" s="8">
        <v>1834611.99</v>
      </c>
      <c r="AD99" s="3" t="s">
        <v>36</v>
      </c>
      <c r="AE99" s="10"/>
      <c r="AF99" s="3">
        <v>0.0</v>
      </c>
      <c r="AG99" s="8">
        <v>12.73</v>
      </c>
      <c r="AH99" s="8">
        <v>18.58</v>
      </c>
    </row>
    <row r="100">
      <c r="A100" s="3">
        <v>99.0</v>
      </c>
      <c r="B100" s="8">
        <v>1834611.99</v>
      </c>
      <c r="C100" s="8">
        <v>1834611.99</v>
      </c>
      <c r="D100" s="8">
        <v>409992.57</v>
      </c>
      <c r="E100" s="8">
        <v>1424619.42</v>
      </c>
      <c r="F100" s="8">
        <v>0.0</v>
      </c>
      <c r="G100" s="8">
        <v>0.0</v>
      </c>
      <c r="H100" s="8">
        <v>0.0</v>
      </c>
      <c r="I100" s="8">
        <v>1.3388249018E8</v>
      </c>
      <c r="J100" s="8">
        <v>1.3388249018E8</v>
      </c>
      <c r="K100" s="8">
        <v>0.0</v>
      </c>
      <c r="L100" s="8">
        <v>0.0</v>
      </c>
      <c r="M100" s="8">
        <v>0.0</v>
      </c>
      <c r="N100" s="8">
        <v>0.0</v>
      </c>
      <c r="O100" s="9">
        <v>48938.0</v>
      </c>
      <c r="P100" s="10"/>
      <c r="Q100" s="8">
        <v>0.0</v>
      </c>
      <c r="R100" s="8">
        <v>409992.57</v>
      </c>
      <c r="S100" s="8">
        <v>1424619.42</v>
      </c>
      <c r="T100" s="8">
        <v>0.0</v>
      </c>
      <c r="U100" s="8">
        <v>0.0</v>
      </c>
      <c r="V100" s="8">
        <v>0.0</v>
      </c>
      <c r="W100" s="8">
        <v>0.0</v>
      </c>
      <c r="X100" s="8">
        <v>0.0</v>
      </c>
      <c r="Y100" s="8">
        <v>0.0</v>
      </c>
      <c r="Z100" s="8">
        <v>0.0</v>
      </c>
      <c r="AA100" s="8">
        <v>0.0</v>
      </c>
      <c r="AB100" s="8">
        <v>0.0</v>
      </c>
      <c r="AC100" s="8">
        <v>1834611.99</v>
      </c>
      <c r="AD100" s="3" t="s">
        <v>36</v>
      </c>
      <c r="AE100" s="10"/>
      <c r="AF100" s="3">
        <v>0.0</v>
      </c>
      <c r="AG100" s="8">
        <v>12.73</v>
      </c>
      <c r="AH100" s="8">
        <v>18.58</v>
      </c>
    </row>
    <row r="101">
      <c r="A101" s="3">
        <v>100.0</v>
      </c>
      <c r="B101" s="8">
        <v>1834611.99</v>
      </c>
      <c r="C101" s="8">
        <v>1834611.99</v>
      </c>
      <c r="D101" s="8">
        <v>414341.91</v>
      </c>
      <c r="E101" s="8">
        <v>1420270.08</v>
      </c>
      <c r="F101" s="8">
        <v>0.0</v>
      </c>
      <c r="G101" s="8">
        <v>0.0</v>
      </c>
      <c r="H101" s="8">
        <v>0.0</v>
      </c>
      <c r="I101" s="8">
        <v>1.3346814827E8</v>
      </c>
      <c r="J101" s="8">
        <v>1.3346814827E8</v>
      </c>
      <c r="K101" s="8">
        <v>0.0</v>
      </c>
      <c r="L101" s="8">
        <v>0.0</v>
      </c>
      <c r="M101" s="8">
        <v>0.0</v>
      </c>
      <c r="N101" s="8">
        <v>0.0</v>
      </c>
      <c r="O101" s="11">
        <v>48969.0</v>
      </c>
      <c r="P101" s="10"/>
      <c r="Q101" s="8">
        <v>0.0</v>
      </c>
      <c r="R101" s="8">
        <v>414341.91</v>
      </c>
      <c r="S101" s="8">
        <v>1420270.08</v>
      </c>
      <c r="T101" s="8">
        <v>0.0</v>
      </c>
      <c r="U101" s="8">
        <v>0.0</v>
      </c>
      <c r="V101" s="8">
        <v>0.0</v>
      </c>
      <c r="W101" s="8">
        <v>0.0</v>
      </c>
      <c r="X101" s="8">
        <v>0.0</v>
      </c>
      <c r="Y101" s="8">
        <v>0.0</v>
      </c>
      <c r="Z101" s="8">
        <v>0.0</v>
      </c>
      <c r="AA101" s="8">
        <v>0.0</v>
      </c>
      <c r="AB101" s="8">
        <v>0.0</v>
      </c>
      <c r="AC101" s="8">
        <v>1834611.99</v>
      </c>
      <c r="AD101" s="3" t="s">
        <v>36</v>
      </c>
      <c r="AE101" s="10"/>
      <c r="AF101" s="3">
        <v>0.0</v>
      </c>
      <c r="AG101" s="8">
        <v>12.73</v>
      </c>
      <c r="AH101" s="8">
        <v>18.58</v>
      </c>
    </row>
    <row r="102">
      <c r="A102" s="3">
        <v>101.0</v>
      </c>
      <c r="B102" s="8">
        <v>1834611.99</v>
      </c>
      <c r="C102" s="8">
        <v>1834611.99</v>
      </c>
      <c r="D102" s="8">
        <v>418737.39</v>
      </c>
      <c r="E102" s="8">
        <v>1415874.6</v>
      </c>
      <c r="F102" s="8">
        <v>0.0</v>
      </c>
      <c r="G102" s="8">
        <v>0.0</v>
      </c>
      <c r="H102" s="8">
        <v>0.0</v>
      </c>
      <c r="I102" s="8">
        <v>1.3304941088E8</v>
      </c>
      <c r="J102" s="8">
        <v>1.3304941088E8</v>
      </c>
      <c r="K102" s="8">
        <v>0.0</v>
      </c>
      <c r="L102" s="8">
        <v>0.0</v>
      </c>
      <c r="M102" s="8">
        <v>0.0</v>
      </c>
      <c r="N102" s="8">
        <v>0.0</v>
      </c>
      <c r="O102" s="11">
        <v>49000.0</v>
      </c>
      <c r="P102" s="10"/>
      <c r="Q102" s="8">
        <v>0.0</v>
      </c>
      <c r="R102" s="8">
        <v>418737.39</v>
      </c>
      <c r="S102" s="8">
        <v>1415874.6</v>
      </c>
      <c r="T102" s="8">
        <v>0.0</v>
      </c>
      <c r="U102" s="8">
        <v>0.0</v>
      </c>
      <c r="V102" s="8">
        <v>0.0</v>
      </c>
      <c r="W102" s="8">
        <v>0.0</v>
      </c>
      <c r="X102" s="8">
        <v>0.0</v>
      </c>
      <c r="Y102" s="8">
        <v>0.0</v>
      </c>
      <c r="Z102" s="8">
        <v>0.0</v>
      </c>
      <c r="AA102" s="8">
        <v>0.0</v>
      </c>
      <c r="AB102" s="8">
        <v>0.0</v>
      </c>
      <c r="AC102" s="8">
        <v>1834611.99</v>
      </c>
      <c r="AD102" s="3" t="s">
        <v>36</v>
      </c>
      <c r="AE102" s="10"/>
      <c r="AF102" s="3">
        <v>0.0</v>
      </c>
      <c r="AG102" s="8">
        <v>12.73</v>
      </c>
      <c r="AH102" s="8">
        <v>18.58</v>
      </c>
    </row>
    <row r="103">
      <c r="A103" s="3">
        <v>102.0</v>
      </c>
      <c r="B103" s="8">
        <v>1834611.99</v>
      </c>
      <c r="C103" s="8">
        <v>1834611.99</v>
      </c>
      <c r="D103" s="8">
        <v>423179.49</v>
      </c>
      <c r="E103" s="8">
        <v>1411432.5</v>
      </c>
      <c r="F103" s="8">
        <v>0.0</v>
      </c>
      <c r="G103" s="8">
        <v>0.0</v>
      </c>
      <c r="H103" s="8">
        <v>0.0</v>
      </c>
      <c r="I103" s="8">
        <v>1.3262623139E8</v>
      </c>
      <c r="J103" s="8">
        <v>1.3262623139E8</v>
      </c>
      <c r="K103" s="8">
        <v>0.0</v>
      </c>
      <c r="L103" s="8">
        <v>0.0</v>
      </c>
      <c r="M103" s="8">
        <v>0.0</v>
      </c>
      <c r="N103" s="8">
        <v>0.0</v>
      </c>
      <c r="O103" s="11">
        <v>49028.0</v>
      </c>
      <c r="P103" s="10"/>
      <c r="Q103" s="8">
        <v>0.0</v>
      </c>
      <c r="R103" s="8">
        <v>423179.49</v>
      </c>
      <c r="S103" s="8">
        <v>1411432.5</v>
      </c>
      <c r="T103" s="8">
        <v>0.0</v>
      </c>
      <c r="U103" s="8">
        <v>0.0</v>
      </c>
      <c r="V103" s="8">
        <v>0.0</v>
      </c>
      <c r="W103" s="8">
        <v>0.0</v>
      </c>
      <c r="X103" s="8">
        <v>0.0</v>
      </c>
      <c r="Y103" s="8">
        <v>0.0</v>
      </c>
      <c r="Z103" s="8">
        <v>0.0</v>
      </c>
      <c r="AA103" s="8">
        <v>0.0</v>
      </c>
      <c r="AB103" s="8">
        <v>0.0</v>
      </c>
      <c r="AC103" s="8">
        <v>1834611.99</v>
      </c>
      <c r="AD103" s="3" t="s">
        <v>36</v>
      </c>
      <c r="AE103" s="10"/>
      <c r="AF103" s="3">
        <v>0.0</v>
      </c>
      <c r="AG103" s="8">
        <v>12.73</v>
      </c>
      <c r="AH103" s="8">
        <v>18.58</v>
      </c>
    </row>
    <row r="104">
      <c r="A104" s="3">
        <v>103.0</v>
      </c>
      <c r="B104" s="8">
        <v>1834611.99</v>
      </c>
      <c r="C104" s="8">
        <v>1834611.99</v>
      </c>
      <c r="D104" s="8">
        <v>427668.72</v>
      </c>
      <c r="E104" s="8">
        <v>1406943.27</v>
      </c>
      <c r="F104" s="8">
        <v>0.0</v>
      </c>
      <c r="G104" s="8">
        <v>0.0</v>
      </c>
      <c r="H104" s="8">
        <v>0.0</v>
      </c>
      <c r="I104" s="8">
        <v>1.3219856267E8</v>
      </c>
      <c r="J104" s="8">
        <v>1.3219856267E8</v>
      </c>
      <c r="K104" s="8">
        <v>0.0</v>
      </c>
      <c r="L104" s="8">
        <v>0.0</v>
      </c>
      <c r="M104" s="8">
        <v>0.0</v>
      </c>
      <c r="N104" s="8">
        <v>0.0</v>
      </c>
      <c r="O104" s="11">
        <v>49059.0</v>
      </c>
      <c r="P104" s="10"/>
      <c r="Q104" s="8">
        <v>0.0</v>
      </c>
      <c r="R104" s="8">
        <v>427668.72</v>
      </c>
      <c r="S104" s="8">
        <v>1406943.27</v>
      </c>
      <c r="T104" s="8">
        <v>0.0</v>
      </c>
      <c r="U104" s="8">
        <v>0.0</v>
      </c>
      <c r="V104" s="8">
        <v>0.0</v>
      </c>
      <c r="W104" s="8">
        <v>0.0</v>
      </c>
      <c r="X104" s="8">
        <v>0.0</v>
      </c>
      <c r="Y104" s="8">
        <v>0.0</v>
      </c>
      <c r="Z104" s="8">
        <v>0.0</v>
      </c>
      <c r="AA104" s="8">
        <v>0.0</v>
      </c>
      <c r="AB104" s="8">
        <v>0.0</v>
      </c>
      <c r="AC104" s="8">
        <v>1834611.99</v>
      </c>
      <c r="AD104" s="3" t="s">
        <v>36</v>
      </c>
      <c r="AE104" s="10"/>
      <c r="AF104" s="3">
        <v>0.0</v>
      </c>
      <c r="AG104" s="8">
        <v>12.73</v>
      </c>
      <c r="AH104" s="8">
        <v>18.58</v>
      </c>
    </row>
    <row r="105">
      <c r="A105" s="3">
        <v>104.0</v>
      </c>
      <c r="B105" s="8">
        <v>1834611.99</v>
      </c>
      <c r="C105" s="8">
        <v>1834611.99</v>
      </c>
      <c r="D105" s="8">
        <v>432205.58</v>
      </c>
      <c r="E105" s="8">
        <v>1402406.41</v>
      </c>
      <c r="F105" s="8">
        <v>0.0</v>
      </c>
      <c r="G105" s="8">
        <v>0.0</v>
      </c>
      <c r="H105" s="8">
        <v>0.0</v>
      </c>
      <c r="I105" s="8">
        <v>1.3176635709E8</v>
      </c>
      <c r="J105" s="8">
        <v>1.3176635709E8</v>
      </c>
      <c r="K105" s="8">
        <v>0.0</v>
      </c>
      <c r="L105" s="8">
        <v>0.0</v>
      </c>
      <c r="M105" s="8">
        <v>0.0</v>
      </c>
      <c r="N105" s="8">
        <v>0.0</v>
      </c>
      <c r="O105" s="11">
        <v>49089.0</v>
      </c>
      <c r="P105" s="10"/>
      <c r="Q105" s="8">
        <v>0.0</v>
      </c>
      <c r="R105" s="8">
        <v>432205.58</v>
      </c>
      <c r="S105" s="8">
        <v>1402406.41</v>
      </c>
      <c r="T105" s="8">
        <v>0.0</v>
      </c>
      <c r="U105" s="8">
        <v>0.0</v>
      </c>
      <c r="V105" s="8">
        <v>0.0</v>
      </c>
      <c r="W105" s="8">
        <v>0.0</v>
      </c>
      <c r="X105" s="8">
        <v>0.0</v>
      </c>
      <c r="Y105" s="8">
        <v>0.0</v>
      </c>
      <c r="Z105" s="8">
        <v>0.0</v>
      </c>
      <c r="AA105" s="8">
        <v>0.0</v>
      </c>
      <c r="AB105" s="8">
        <v>0.0</v>
      </c>
      <c r="AC105" s="8">
        <v>1834611.99</v>
      </c>
      <c r="AD105" s="3" t="s">
        <v>36</v>
      </c>
      <c r="AE105" s="10"/>
      <c r="AF105" s="3">
        <v>0.0</v>
      </c>
      <c r="AG105" s="8">
        <v>12.73</v>
      </c>
      <c r="AH105" s="8">
        <v>18.58</v>
      </c>
    </row>
    <row r="106">
      <c r="A106" s="3">
        <v>105.0</v>
      </c>
      <c r="B106" s="8">
        <v>1834611.99</v>
      </c>
      <c r="C106" s="8">
        <v>1834611.99</v>
      </c>
      <c r="D106" s="8">
        <v>436790.56</v>
      </c>
      <c r="E106" s="8">
        <v>1397821.43</v>
      </c>
      <c r="F106" s="8">
        <v>0.0</v>
      </c>
      <c r="G106" s="8">
        <v>0.0</v>
      </c>
      <c r="H106" s="8">
        <v>0.0</v>
      </c>
      <c r="I106" s="8">
        <v>1.3132956653E8</v>
      </c>
      <c r="J106" s="8">
        <v>1.3132956653E8</v>
      </c>
      <c r="K106" s="8">
        <v>0.0</v>
      </c>
      <c r="L106" s="8">
        <v>0.0</v>
      </c>
      <c r="M106" s="8">
        <v>0.0</v>
      </c>
      <c r="N106" s="8">
        <v>0.0</v>
      </c>
      <c r="O106" s="11">
        <v>49120.0</v>
      </c>
      <c r="P106" s="10"/>
      <c r="Q106" s="8">
        <v>0.0</v>
      </c>
      <c r="R106" s="8">
        <v>436790.56</v>
      </c>
      <c r="S106" s="8">
        <v>1397821.43</v>
      </c>
      <c r="T106" s="8">
        <v>0.0</v>
      </c>
      <c r="U106" s="8">
        <v>0.0</v>
      </c>
      <c r="V106" s="8">
        <v>0.0</v>
      </c>
      <c r="W106" s="8">
        <v>0.0</v>
      </c>
      <c r="X106" s="8">
        <v>0.0</v>
      </c>
      <c r="Y106" s="8">
        <v>0.0</v>
      </c>
      <c r="Z106" s="8">
        <v>0.0</v>
      </c>
      <c r="AA106" s="8">
        <v>0.0</v>
      </c>
      <c r="AB106" s="8">
        <v>0.0</v>
      </c>
      <c r="AC106" s="8">
        <v>1834611.99</v>
      </c>
      <c r="AD106" s="3" t="s">
        <v>36</v>
      </c>
      <c r="AE106" s="10"/>
      <c r="AF106" s="3">
        <v>0.0</v>
      </c>
      <c r="AG106" s="8">
        <v>12.73</v>
      </c>
      <c r="AH106" s="8">
        <v>18.58</v>
      </c>
    </row>
    <row r="107">
      <c r="A107" s="3">
        <v>106.0</v>
      </c>
      <c r="B107" s="8">
        <v>1834611.99</v>
      </c>
      <c r="C107" s="8">
        <v>1834611.99</v>
      </c>
      <c r="D107" s="8">
        <v>441424.18</v>
      </c>
      <c r="E107" s="8">
        <v>1393187.81</v>
      </c>
      <c r="F107" s="8">
        <v>0.0</v>
      </c>
      <c r="G107" s="8">
        <v>0.0</v>
      </c>
      <c r="H107" s="8">
        <v>0.0</v>
      </c>
      <c r="I107" s="8">
        <v>1.3088814235E8</v>
      </c>
      <c r="J107" s="8">
        <v>1.3088814235E8</v>
      </c>
      <c r="K107" s="8">
        <v>0.0</v>
      </c>
      <c r="L107" s="8">
        <v>0.0</v>
      </c>
      <c r="M107" s="8">
        <v>0.0</v>
      </c>
      <c r="N107" s="8">
        <v>0.0</v>
      </c>
      <c r="O107" s="11">
        <v>49150.0</v>
      </c>
      <c r="P107" s="10"/>
      <c r="Q107" s="8">
        <v>0.0</v>
      </c>
      <c r="R107" s="8">
        <v>441424.18</v>
      </c>
      <c r="S107" s="8">
        <v>1393187.81</v>
      </c>
      <c r="T107" s="8">
        <v>0.0</v>
      </c>
      <c r="U107" s="8">
        <v>0.0</v>
      </c>
      <c r="V107" s="8">
        <v>0.0</v>
      </c>
      <c r="W107" s="8">
        <v>0.0</v>
      </c>
      <c r="X107" s="8">
        <v>0.0</v>
      </c>
      <c r="Y107" s="8">
        <v>0.0</v>
      </c>
      <c r="Z107" s="8">
        <v>0.0</v>
      </c>
      <c r="AA107" s="8">
        <v>0.0</v>
      </c>
      <c r="AB107" s="8">
        <v>0.0</v>
      </c>
      <c r="AC107" s="8">
        <v>1834611.99</v>
      </c>
      <c r="AD107" s="3" t="s">
        <v>36</v>
      </c>
      <c r="AE107" s="10"/>
      <c r="AF107" s="3">
        <v>0.0</v>
      </c>
      <c r="AG107" s="8">
        <v>12.73</v>
      </c>
      <c r="AH107" s="8">
        <v>18.58</v>
      </c>
    </row>
    <row r="108">
      <c r="A108" s="3">
        <v>107.0</v>
      </c>
      <c r="B108" s="8">
        <v>1834611.99</v>
      </c>
      <c r="C108" s="8">
        <v>1834611.99</v>
      </c>
      <c r="D108" s="8">
        <v>446106.95</v>
      </c>
      <c r="E108" s="8">
        <v>1388505.04</v>
      </c>
      <c r="F108" s="8">
        <v>0.0</v>
      </c>
      <c r="G108" s="8">
        <v>0.0</v>
      </c>
      <c r="H108" s="8">
        <v>0.0</v>
      </c>
      <c r="I108" s="8">
        <v>1.304420354E8</v>
      </c>
      <c r="J108" s="8">
        <v>1.304420354E8</v>
      </c>
      <c r="K108" s="8">
        <v>0.0</v>
      </c>
      <c r="L108" s="8">
        <v>0.0</v>
      </c>
      <c r="M108" s="8">
        <v>0.0</v>
      </c>
      <c r="N108" s="8">
        <v>0.0</v>
      </c>
      <c r="O108" s="11">
        <v>49181.0</v>
      </c>
      <c r="P108" s="10"/>
      <c r="Q108" s="8">
        <v>0.0</v>
      </c>
      <c r="R108" s="8">
        <v>446106.95</v>
      </c>
      <c r="S108" s="8">
        <v>1388505.04</v>
      </c>
      <c r="T108" s="8">
        <v>0.0</v>
      </c>
      <c r="U108" s="8">
        <v>0.0</v>
      </c>
      <c r="V108" s="8">
        <v>0.0</v>
      </c>
      <c r="W108" s="8">
        <v>0.0</v>
      </c>
      <c r="X108" s="8">
        <v>0.0</v>
      </c>
      <c r="Y108" s="8">
        <v>0.0</v>
      </c>
      <c r="Z108" s="8">
        <v>0.0</v>
      </c>
      <c r="AA108" s="8">
        <v>0.0</v>
      </c>
      <c r="AB108" s="8">
        <v>0.0</v>
      </c>
      <c r="AC108" s="8">
        <v>1834611.99</v>
      </c>
      <c r="AD108" s="3" t="s">
        <v>36</v>
      </c>
      <c r="AE108" s="10"/>
      <c r="AF108" s="3">
        <v>0.0</v>
      </c>
      <c r="AG108" s="8">
        <v>12.73</v>
      </c>
      <c r="AH108" s="8">
        <v>18.58</v>
      </c>
    </row>
    <row r="109">
      <c r="A109" s="3">
        <v>108.0</v>
      </c>
      <c r="B109" s="8">
        <v>1834611.99</v>
      </c>
      <c r="C109" s="8">
        <v>1834611.99</v>
      </c>
      <c r="D109" s="8">
        <v>450839.4</v>
      </c>
      <c r="E109" s="8">
        <v>1383772.59</v>
      </c>
      <c r="F109" s="8">
        <v>0.0</v>
      </c>
      <c r="G109" s="8">
        <v>0.0</v>
      </c>
      <c r="H109" s="8">
        <v>0.0</v>
      </c>
      <c r="I109" s="8">
        <v>1.29991196E8</v>
      </c>
      <c r="J109" s="8">
        <v>1.29991196E8</v>
      </c>
      <c r="K109" s="8">
        <v>0.0</v>
      </c>
      <c r="L109" s="8">
        <v>0.0</v>
      </c>
      <c r="M109" s="8">
        <v>0.0</v>
      </c>
      <c r="N109" s="8">
        <v>0.0</v>
      </c>
      <c r="O109" s="11">
        <v>49212.0</v>
      </c>
      <c r="P109" s="10"/>
      <c r="Q109" s="8">
        <v>0.0</v>
      </c>
      <c r="R109" s="8">
        <v>450839.4</v>
      </c>
      <c r="S109" s="8">
        <v>1383772.59</v>
      </c>
      <c r="T109" s="8">
        <v>0.0</v>
      </c>
      <c r="U109" s="8">
        <v>0.0</v>
      </c>
      <c r="V109" s="8">
        <v>0.0</v>
      </c>
      <c r="W109" s="8">
        <v>0.0</v>
      </c>
      <c r="X109" s="8">
        <v>0.0</v>
      </c>
      <c r="Y109" s="8">
        <v>0.0</v>
      </c>
      <c r="Z109" s="8">
        <v>0.0</v>
      </c>
      <c r="AA109" s="8">
        <v>0.0</v>
      </c>
      <c r="AB109" s="8">
        <v>0.0</v>
      </c>
      <c r="AC109" s="8">
        <v>1834611.99</v>
      </c>
      <c r="AD109" s="3" t="s">
        <v>36</v>
      </c>
      <c r="AE109" s="10"/>
      <c r="AF109" s="3">
        <v>0.0</v>
      </c>
      <c r="AG109" s="8">
        <v>12.73</v>
      </c>
      <c r="AH109" s="8">
        <v>18.58</v>
      </c>
    </row>
    <row r="110">
      <c r="A110" s="3">
        <v>109.0</v>
      </c>
      <c r="B110" s="8">
        <v>1834611.99</v>
      </c>
      <c r="C110" s="8">
        <v>1834611.99</v>
      </c>
      <c r="D110" s="8">
        <v>455622.06</v>
      </c>
      <c r="E110" s="8">
        <v>1378989.93</v>
      </c>
      <c r="F110" s="8">
        <v>0.0</v>
      </c>
      <c r="G110" s="8">
        <v>0.0</v>
      </c>
      <c r="H110" s="8">
        <v>0.0</v>
      </c>
      <c r="I110" s="8">
        <v>1.2953557394E8</v>
      </c>
      <c r="J110" s="8">
        <v>1.2953557394E8</v>
      </c>
      <c r="K110" s="8">
        <v>0.0</v>
      </c>
      <c r="L110" s="8">
        <v>0.0</v>
      </c>
      <c r="M110" s="8">
        <v>0.0</v>
      </c>
      <c r="N110" s="8">
        <v>0.0</v>
      </c>
      <c r="O110" s="9">
        <v>49242.0</v>
      </c>
      <c r="P110" s="10"/>
      <c r="Q110" s="8">
        <v>0.0</v>
      </c>
      <c r="R110" s="8">
        <v>455622.06</v>
      </c>
      <c r="S110" s="8">
        <v>1378989.93</v>
      </c>
      <c r="T110" s="8">
        <v>0.0</v>
      </c>
      <c r="U110" s="8">
        <v>0.0</v>
      </c>
      <c r="V110" s="8">
        <v>0.0</v>
      </c>
      <c r="W110" s="8">
        <v>0.0</v>
      </c>
      <c r="X110" s="8">
        <v>0.0</v>
      </c>
      <c r="Y110" s="8">
        <v>0.0</v>
      </c>
      <c r="Z110" s="8">
        <v>0.0</v>
      </c>
      <c r="AA110" s="8">
        <v>0.0</v>
      </c>
      <c r="AB110" s="8">
        <v>0.0</v>
      </c>
      <c r="AC110" s="8">
        <v>1834611.99</v>
      </c>
      <c r="AD110" s="3" t="s">
        <v>36</v>
      </c>
      <c r="AE110" s="10"/>
      <c r="AF110" s="3">
        <v>0.0</v>
      </c>
      <c r="AG110" s="8">
        <v>12.73</v>
      </c>
      <c r="AH110" s="8">
        <v>18.58</v>
      </c>
    </row>
    <row r="111">
      <c r="A111" s="3">
        <v>110.0</v>
      </c>
      <c r="B111" s="8">
        <v>1834611.99</v>
      </c>
      <c r="C111" s="8">
        <v>1834611.99</v>
      </c>
      <c r="D111" s="8">
        <v>460455.45</v>
      </c>
      <c r="E111" s="8">
        <v>1374156.54</v>
      </c>
      <c r="F111" s="8">
        <v>0.0</v>
      </c>
      <c r="G111" s="8">
        <v>0.0</v>
      </c>
      <c r="H111" s="8">
        <v>0.0</v>
      </c>
      <c r="I111" s="8">
        <v>1.2907511849E8</v>
      </c>
      <c r="J111" s="8">
        <v>1.2907511849E8</v>
      </c>
      <c r="K111" s="8">
        <v>0.0</v>
      </c>
      <c r="L111" s="8">
        <v>0.0</v>
      </c>
      <c r="M111" s="8">
        <v>0.0</v>
      </c>
      <c r="N111" s="8">
        <v>0.0</v>
      </c>
      <c r="O111" s="9">
        <v>49273.0</v>
      </c>
      <c r="P111" s="10"/>
      <c r="Q111" s="8">
        <v>0.0</v>
      </c>
      <c r="R111" s="8">
        <v>460455.45</v>
      </c>
      <c r="S111" s="8">
        <v>1374156.54</v>
      </c>
      <c r="T111" s="8">
        <v>0.0</v>
      </c>
      <c r="U111" s="8">
        <v>0.0</v>
      </c>
      <c r="V111" s="8">
        <v>0.0</v>
      </c>
      <c r="W111" s="8">
        <v>0.0</v>
      </c>
      <c r="X111" s="8">
        <v>0.0</v>
      </c>
      <c r="Y111" s="8">
        <v>0.0</v>
      </c>
      <c r="Z111" s="8">
        <v>0.0</v>
      </c>
      <c r="AA111" s="8">
        <v>0.0</v>
      </c>
      <c r="AB111" s="8">
        <v>0.0</v>
      </c>
      <c r="AC111" s="8">
        <v>1834611.99</v>
      </c>
      <c r="AD111" s="3" t="s">
        <v>36</v>
      </c>
      <c r="AE111" s="10"/>
      <c r="AF111" s="3">
        <v>0.0</v>
      </c>
      <c r="AG111" s="8">
        <v>12.73</v>
      </c>
      <c r="AH111" s="8">
        <v>18.58</v>
      </c>
    </row>
    <row r="112">
      <c r="A112" s="3">
        <v>111.0</v>
      </c>
      <c r="B112" s="8">
        <v>1834611.99</v>
      </c>
      <c r="C112" s="8">
        <v>1834611.99</v>
      </c>
      <c r="D112" s="8">
        <v>465340.11</v>
      </c>
      <c r="E112" s="8">
        <v>1369271.88</v>
      </c>
      <c r="F112" s="8">
        <v>0.0</v>
      </c>
      <c r="G112" s="8">
        <v>0.0</v>
      </c>
      <c r="H112" s="8">
        <v>0.0</v>
      </c>
      <c r="I112" s="8">
        <v>1.2860977838E8</v>
      </c>
      <c r="J112" s="8">
        <v>1.2860977838E8</v>
      </c>
      <c r="K112" s="8">
        <v>0.0</v>
      </c>
      <c r="L112" s="8">
        <v>0.0</v>
      </c>
      <c r="M112" s="8">
        <v>0.0</v>
      </c>
      <c r="N112" s="8">
        <v>0.0</v>
      </c>
      <c r="O112" s="9">
        <v>49303.0</v>
      </c>
      <c r="P112" s="10"/>
      <c r="Q112" s="8">
        <v>0.0</v>
      </c>
      <c r="R112" s="8">
        <v>465340.11</v>
      </c>
      <c r="S112" s="8">
        <v>1369271.88</v>
      </c>
      <c r="T112" s="8">
        <v>0.0</v>
      </c>
      <c r="U112" s="8">
        <v>0.0</v>
      </c>
      <c r="V112" s="8">
        <v>0.0</v>
      </c>
      <c r="W112" s="8">
        <v>0.0</v>
      </c>
      <c r="X112" s="8">
        <v>0.0</v>
      </c>
      <c r="Y112" s="8">
        <v>0.0</v>
      </c>
      <c r="Z112" s="8">
        <v>0.0</v>
      </c>
      <c r="AA112" s="8">
        <v>0.0</v>
      </c>
      <c r="AB112" s="8">
        <v>0.0</v>
      </c>
      <c r="AC112" s="8">
        <v>1834611.99</v>
      </c>
      <c r="AD112" s="3" t="s">
        <v>36</v>
      </c>
      <c r="AE112" s="10"/>
      <c r="AF112" s="3">
        <v>0.0</v>
      </c>
      <c r="AG112" s="8">
        <v>12.73</v>
      </c>
      <c r="AH112" s="8">
        <v>18.58</v>
      </c>
    </row>
    <row r="113">
      <c r="A113" s="3">
        <v>112.0</v>
      </c>
      <c r="B113" s="8">
        <v>1834611.99</v>
      </c>
      <c r="C113" s="8">
        <v>1834611.99</v>
      </c>
      <c r="D113" s="8">
        <v>470276.6</v>
      </c>
      <c r="E113" s="8">
        <v>1364335.39</v>
      </c>
      <c r="F113" s="8">
        <v>0.0</v>
      </c>
      <c r="G113" s="8">
        <v>0.0</v>
      </c>
      <c r="H113" s="8">
        <v>0.0</v>
      </c>
      <c r="I113" s="8">
        <v>1.2813950178E8</v>
      </c>
      <c r="J113" s="8">
        <v>1.2813950178E8</v>
      </c>
      <c r="K113" s="8">
        <v>0.0</v>
      </c>
      <c r="L113" s="8">
        <v>0.0</v>
      </c>
      <c r="M113" s="8">
        <v>0.0</v>
      </c>
      <c r="N113" s="8">
        <v>0.0</v>
      </c>
      <c r="O113" s="11">
        <v>49334.0</v>
      </c>
      <c r="P113" s="10"/>
      <c r="Q113" s="8">
        <v>0.0</v>
      </c>
      <c r="R113" s="8">
        <v>470276.6</v>
      </c>
      <c r="S113" s="8">
        <v>1364335.39</v>
      </c>
      <c r="T113" s="8">
        <v>0.0</v>
      </c>
      <c r="U113" s="8">
        <v>0.0</v>
      </c>
      <c r="V113" s="8">
        <v>0.0</v>
      </c>
      <c r="W113" s="8">
        <v>0.0</v>
      </c>
      <c r="X113" s="8">
        <v>0.0</v>
      </c>
      <c r="Y113" s="8">
        <v>0.0</v>
      </c>
      <c r="Z113" s="8">
        <v>0.0</v>
      </c>
      <c r="AA113" s="8">
        <v>0.0</v>
      </c>
      <c r="AB113" s="8">
        <v>0.0</v>
      </c>
      <c r="AC113" s="8">
        <v>1834611.99</v>
      </c>
      <c r="AD113" s="3" t="s">
        <v>36</v>
      </c>
      <c r="AE113" s="10"/>
      <c r="AF113" s="3">
        <v>0.0</v>
      </c>
      <c r="AG113" s="8">
        <v>12.73</v>
      </c>
      <c r="AH113" s="8">
        <v>18.58</v>
      </c>
    </row>
    <row r="114">
      <c r="A114" s="3">
        <v>113.0</v>
      </c>
      <c r="B114" s="8">
        <v>1834611.99</v>
      </c>
      <c r="C114" s="8">
        <v>1834611.99</v>
      </c>
      <c r="D114" s="8">
        <v>475265.45</v>
      </c>
      <c r="E114" s="8">
        <v>1359346.54</v>
      </c>
      <c r="F114" s="8">
        <v>0.0</v>
      </c>
      <c r="G114" s="8">
        <v>0.0</v>
      </c>
      <c r="H114" s="8">
        <v>0.0</v>
      </c>
      <c r="I114" s="8">
        <v>1.2766423633E8</v>
      </c>
      <c r="J114" s="8">
        <v>1.2766423633E8</v>
      </c>
      <c r="K114" s="8">
        <v>0.0</v>
      </c>
      <c r="L114" s="8">
        <v>0.0</v>
      </c>
      <c r="M114" s="8">
        <v>0.0</v>
      </c>
      <c r="N114" s="8">
        <v>0.0</v>
      </c>
      <c r="O114" s="11">
        <v>49365.0</v>
      </c>
      <c r="P114" s="10"/>
      <c r="Q114" s="8">
        <v>0.0</v>
      </c>
      <c r="R114" s="8">
        <v>475265.45</v>
      </c>
      <c r="S114" s="8">
        <v>1359346.54</v>
      </c>
      <c r="T114" s="8">
        <v>0.0</v>
      </c>
      <c r="U114" s="8">
        <v>0.0</v>
      </c>
      <c r="V114" s="8">
        <v>0.0</v>
      </c>
      <c r="W114" s="8">
        <v>0.0</v>
      </c>
      <c r="X114" s="8">
        <v>0.0</v>
      </c>
      <c r="Y114" s="8">
        <v>0.0</v>
      </c>
      <c r="Z114" s="8">
        <v>0.0</v>
      </c>
      <c r="AA114" s="8">
        <v>0.0</v>
      </c>
      <c r="AB114" s="8">
        <v>0.0</v>
      </c>
      <c r="AC114" s="8">
        <v>1834611.99</v>
      </c>
      <c r="AD114" s="3" t="s">
        <v>36</v>
      </c>
      <c r="AE114" s="10"/>
      <c r="AF114" s="3">
        <v>0.0</v>
      </c>
      <c r="AG114" s="8">
        <v>12.73</v>
      </c>
      <c r="AH114" s="8">
        <v>18.58</v>
      </c>
    </row>
    <row r="115">
      <c r="A115" s="3">
        <v>114.0</v>
      </c>
      <c r="B115" s="8">
        <v>1834611.99</v>
      </c>
      <c r="C115" s="8">
        <v>1834611.99</v>
      </c>
      <c r="D115" s="8">
        <v>480307.22</v>
      </c>
      <c r="E115" s="8">
        <v>1354304.77</v>
      </c>
      <c r="F115" s="8">
        <v>0.0</v>
      </c>
      <c r="G115" s="8">
        <v>0.0</v>
      </c>
      <c r="H115" s="8">
        <v>0.0</v>
      </c>
      <c r="I115" s="8">
        <v>1.2718392911E8</v>
      </c>
      <c r="J115" s="8">
        <v>1.2718392911E8</v>
      </c>
      <c r="K115" s="8">
        <v>0.0</v>
      </c>
      <c r="L115" s="8">
        <v>0.0</v>
      </c>
      <c r="M115" s="8">
        <v>0.0</v>
      </c>
      <c r="N115" s="8">
        <v>0.0</v>
      </c>
      <c r="O115" s="11">
        <v>49393.0</v>
      </c>
      <c r="P115" s="10"/>
      <c r="Q115" s="8">
        <v>0.0</v>
      </c>
      <c r="R115" s="8">
        <v>480307.22</v>
      </c>
      <c r="S115" s="8">
        <v>1354304.77</v>
      </c>
      <c r="T115" s="8">
        <v>0.0</v>
      </c>
      <c r="U115" s="8">
        <v>0.0</v>
      </c>
      <c r="V115" s="8">
        <v>0.0</v>
      </c>
      <c r="W115" s="8">
        <v>0.0</v>
      </c>
      <c r="X115" s="8">
        <v>0.0</v>
      </c>
      <c r="Y115" s="8">
        <v>0.0</v>
      </c>
      <c r="Z115" s="8">
        <v>0.0</v>
      </c>
      <c r="AA115" s="8">
        <v>0.0</v>
      </c>
      <c r="AB115" s="8">
        <v>0.0</v>
      </c>
      <c r="AC115" s="8">
        <v>1834611.99</v>
      </c>
      <c r="AD115" s="3" t="s">
        <v>36</v>
      </c>
      <c r="AE115" s="10"/>
      <c r="AF115" s="3">
        <v>0.0</v>
      </c>
      <c r="AG115" s="8">
        <v>12.73</v>
      </c>
      <c r="AH115" s="8">
        <v>18.58</v>
      </c>
    </row>
    <row r="116">
      <c r="A116" s="3">
        <v>115.0</v>
      </c>
      <c r="B116" s="8">
        <v>1834611.99</v>
      </c>
      <c r="C116" s="8">
        <v>1834611.99</v>
      </c>
      <c r="D116" s="8">
        <v>485402.48</v>
      </c>
      <c r="E116" s="8">
        <v>1349209.51</v>
      </c>
      <c r="F116" s="8">
        <v>0.0</v>
      </c>
      <c r="G116" s="8">
        <v>0.0</v>
      </c>
      <c r="H116" s="8">
        <v>0.0</v>
      </c>
      <c r="I116" s="8">
        <v>1.2669852663E8</v>
      </c>
      <c r="J116" s="8">
        <v>1.2669852663E8</v>
      </c>
      <c r="K116" s="8">
        <v>0.0</v>
      </c>
      <c r="L116" s="8">
        <v>0.0</v>
      </c>
      <c r="M116" s="8">
        <v>0.0</v>
      </c>
      <c r="N116" s="8">
        <v>0.0</v>
      </c>
      <c r="O116" s="11">
        <v>49424.0</v>
      </c>
      <c r="P116" s="10"/>
      <c r="Q116" s="8">
        <v>0.0</v>
      </c>
      <c r="R116" s="8">
        <v>485402.48</v>
      </c>
      <c r="S116" s="8">
        <v>1349209.51</v>
      </c>
      <c r="T116" s="8">
        <v>0.0</v>
      </c>
      <c r="U116" s="8">
        <v>0.0</v>
      </c>
      <c r="V116" s="8">
        <v>0.0</v>
      </c>
      <c r="W116" s="8">
        <v>0.0</v>
      </c>
      <c r="X116" s="8">
        <v>0.0</v>
      </c>
      <c r="Y116" s="8">
        <v>0.0</v>
      </c>
      <c r="Z116" s="8">
        <v>0.0</v>
      </c>
      <c r="AA116" s="8">
        <v>0.0</v>
      </c>
      <c r="AB116" s="8">
        <v>0.0</v>
      </c>
      <c r="AC116" s="8">
        <v>1834611.99</v>
      </c>
      <c r="AD116" s="3" t="s">
        <v>36</v>
      </c>
      <c r="AE116" s="10"/>
      <c r="AF116" s="3">
        <v>0.0</v>
      </c>
      <c r="AG116" s="8">
        <v>12.73</v>
      </c>
      <c r="AH116" s="8">
        <v>18.58</v>
      </c>
    </row>
    <row r="117">
      <c r="A117" s="3">
        <v>116.0</v>
      </c>
      <c r="B117" s="8">
        <v>1834611.99</v>
      </c>
      <c r="C117" s="8">
        <v>1834611.99</v>
      </c>
      <c r="D117" s="8">
        <v>490551.79</v>
      </c>
      <c r="E117" s="8">
        <v>1344060.2</v>
      </c>
      <c r="F117" s="8">
        <v>0.0</v>
      </c>
      <c r="G117" s="8">
        <v>0.0</v>
      </c>
      <c r="H117" s="8">
        <v>0.0</v>
      </c>
      <c r="I117" s="8">
        <v>1.2620797484E8</v>
      </c>
      <c r="J117" s="8">
        <v>1.2620797484E8</v>
      </c>
      <c r="K117" s="8">
        <v>0.0</v>
      </c>
      <c r="L117" s="8">
        <v>0.0</v>
      </c>
      <c r="M117" s="8">
        <v>0.0</v>
      </c>
      <c r="N117" s="8">
        <v>0.0</v>
      </c>
      <c r="O117" s="11">
        <v>49454.0</v>
      </c>
      <c r="P117" s="10"/>
      <c r="Q117" s="8">
        <v>0.0</v>
      </c>
      <c r="R117" s="8">
        <v>490551.79</v>
      </c>
      <c r="S117" s="8">
        <v>1344060.2</v>
      </c>
      <c r="T117" s="8">
        <v>0.0</v>
      </c>
      <c r="U117" s="8">
        <v>0.0</v>
      </c>
      <c r="V117" s="8">
        <v>0.0</v>
      </c>
      <c r="W117" s="8">
        <v>0.0</v>
      </c>
      <c r="X117" s="8">
        <v>0.0</v>
      </c>
      <c r="Y117" s="8">
        <v>0.0</v>
      </c>
      <c r="Z117" s="8">
        <v>0.0</v>
      </c>
      <c r="AA117" s="8">
        <v>0.0</v>
      </c>
      <c r="AB117" s="8">
        <v>0.0</v>
      </c>
      <c r="AC117" s="8">
        <v>1834611.99</v>
      </c>
      <c r="AD117" s="3" t="s">
        <v>36</v>
      </c>
      <c r="AE117" s="10"/>
      <c r="AF117" s="3">
        <v>0.0</v>
      </c>
      <c r="AG117" s="8">
        <v>12.73</v>
      </c>
      <c r="AH117" s="8">
        <v>18.58</v>
      </c>
    </row>
    <row r="118">
      <c r="A118" s="3">
        <v>117.0</v>
      </c>
      <c r="B118" s="8">
        <v>1834611.99</v>
      </c>
      <c r="C118" s="8">
        <v>1834611.99</v>
      </c>
      <c r="D118" s="8">
        <v>495755.73</v>
      </c>
      <c r="E118" s="8">
        <v>1338856.26</v>
      </c>
      <c r="F118" s="8">
        <v>0.0</v>
      </c>
      <c r="G118" s="8">
        <v>0.0</v>
      </c>
      <c r="H118" s="8">
        <v>0.0</v>
      </c>
      <c r="I118" s="8">
        <v>1.2571221911E8</v>
      </c>
      <c r="J118" s="8">
        <v>1.2571221911E8</v>
      </c>
      <c r="K118" s="8">
        <v>0.0</v>
      </c>
      <c r="L118" s="8">
        <v>0.0</v>
      </c>
      <c r="M118" s="8">
        <v>0.0</v>
      </c>
      <c r="N118" s="8">
        <v>0.0</v>
      </c>
      <c r="O118" s="11">
        <v>49485.0</v>
      </c>
      <c r="P118" s="10"/>
      <c r="Q118" s="8">
        <v>0.0</v>
      </c>
      <c r="R118" s="8">
        <v>495755.73</v>
      </c>
      <c r="S118" s="8">
        <v>1338856.26</v>
      </c>
      <c r="T118" s="8">
        <v>0.0</v>
      </c>
      <c r="U118" s="8">
        <v>0.0</v>
      </c>
      <c r="V118" s="8">
        <v>0.0</v>
      </c>
      <c r="W118" s="8">
        <v>0.0</v>
      </c>
      <c r="X118" s="8">
        <v>0.0</v>
      </c>
      <c r="Y118" s="8">
        <v>0.0</v>
      </c>
      <c r="Z118" s="8">
        <v>0.0</v>
      </c>
      <c r="AA118" s="8">
        <v>0.0</v>
      </c>
      <c r="AB118" s="8">
        <v>0.0</v>
      </c>
      <c r="AC118" s="8">
        <v>1834611.99</v>
      </c>
      <c r="AD118" s="3" t="s">
        <v>36</v>
      </c>
      <c r="AE118" s="10"/>
      <c r="AF118" s="3">
        <v>0.0</v>
      </c>
      <c r="AG118" s="8">
        <v>12.73</v>
      </c>
      <c r="AH118" s="8">
        <v>18.58</v>
      </c>
    </row>
    <row r="119">
      <c r="A119" s="3">
        <v>118.0</v>
      </c>
      <c r="B119" s="8">
        <v>1834611.99</v>
      </c>
      <c r="C119" s="8">
        <v>1834611.99</v>
      </c>
      <c r="D119" s="8">
        <v>501014.87</v>
      </c>
      <c r="E119" s="8">
        <v>1333597.12</v>
      </c>
      <c r="F119" s="8">
        <v>0.0</v>
      </c>
      <c r="G119" s="8">
        <v>0.0</v>
      </c>
      <c r="H119" s="8">
        <v>0.0</v>
      </c>
      <c r="I119" s="8">
        <v>1.2521120424E8</v>
      </c>
      <c r="J119" s="8">
        <v>1.2521120424E8</v>
      </c>
      <c r="K119" s="8">
        <v>0.0</v>
      </c>
      <c r="L119" s="8">
        <v>0.0</v>
      </c>
      <c r="M119" s="8">
        <v>0.0</v>
      </c>
      <c r="N119" s="8">
        <v>0.0</v>
      </c>
      <c r="O119" s="11">
        <v>49515.0</v>
      </c>
      <c r="P119" s="10"/>
      <c r="Q119" s="8">
        <v>0.0</v>
      </c>
      <c r="R119" s="8">
        <v>501014.87</v>
      </c>
      <c r="S119" s="8">
        <v>1333597.12</v>
      </c>
      <c r="T119" s="8">
        <v>0.0</v>
      </c>
      <c r="U119" s="8">
        <v>0.0</v>
      </c>
      <c r="V119" s="8">
        <v>0.0</v>
      </c>
      <c r="W119" s="8">
        <v>0.0</v>
      </c>
      <c r="X119" s="8">
        <v>0.0</v>
      </c>
      <c r="Y119" s="8">
        <v>0.0</v>
      </c>
      <c r="Z119" s="8">
        <v>0.0</v>
      </c>
      <c r="AA119" s="8">
        <v>0.0</v>
      </c>
      <c r="AB119" s="8">
        <v>0.0</v>
      </c>
      <c r="AC119" s="8">
        <v>1834611.99</v>
      </c>
      <c r="AD119" s="3" t="s">
        <v>36</v>
      </c>
      <c r="AE119" s="10"/>
      <c r="AF119" s="3">
        <v>0.0</v>
      </c>
      <c r="AG119" s="8">
        <v>12.73</v>
      </c>
      <c r="AH119" s="8">
        <v>18.58</v>
      </c>
    </row>
    <row r="120">
      <c r="A120" s="3">
        <v>119.0</v>
      </c>
      <c r="B120" s="8">
        <v>1834611.99</v>
      </c>
      <c r="C120" s="8">
        <v>1834611.99</v>
      </c>
      <c r="D120" s="8">
        <v>506329.8</v>
      </c>
      <c r="E120" s="8">
        <v>1328282.19</v>
      </c>
      <c r="F120" s="8">
        <v>0.0</v>
      </c>
      <c r="G120" s="8">
        <v>0.0</v>
      </c>
      <c r="H120" s="8">
        <v>0.0</v>
      </c>
      <c r="I120" s="8">
        <v>1.2470487444E8</v>
      </c>
      <c r="J120" s="8">
        <v>1.2470487444E8</v>
      </c>
      <c r="K120" s="8">
        <v>0.0</v>
      </c>
      <c r="L120" s="8">
        <v>0.0</v>
      </c>
      <c r="M120" s="8">
        <v>0.0</v>
      </c>
      <c r="N120" s="8">
        <v>0.0</v>
      </c>
      <c r="O120" s="11">
        <v>49546.0</v>
      </c>
      <c r="P120" s="10"/>
      <c r="Q120" s="8">
        <v>0.0</v>
      </c>
      <c r="R120" s="8">
        <v>506329.8</v>
      </c>
      <c r="S120" s="8">
        <v>1328282.19</v>
      </c>
      <c r="T120" s="8">
        <v>0.0</v>
      </c>
      <c r="U120" s="8">
        <v>0.0</v>
      </c>
      <c r="V120" s="8">
        <v>0.0</v>
      </c>
      <c r="W120" s="8">
        <v>0.0</v>
      </c>
      <c r="X120" s="8">
        <v>0.0</v>
      </c>
      <c r="Y120" s="8">
        <v>0.0</v>
      </c>
      <c r="Z120" s="8">
        <v>0.0</v>
      </c>
      <c r="AA120" s="8">
        <v>0.0</v>
      </c>
      <c r="AB120" s="8">
        <v>0.0</v>
      </c>
      <c r="AC120" s="8">
        <v>1834611.99</v>
      </c>
      <c r="AD120" s="3" t="s">
        <v>36</v>
      </c>
      <c r="AE120" s="10"/>
      <c r="AF120" s="3">
        <v>0.0</v>
      </c>
      <c r="AG120" s="8">
        <v>12.73</v>
      </c>
      <c r="AH120" s="8">
        <v>18.58</v>
      </c>
    </row>
    <row r="121">
      <c r="A121" s="3">
        <v>120.0</v>
      </c>
      <c r="B121" s="8">
        <v>1834611.99</v>
      </c>
      <c r="C121" s="8">
        <v>1834611.99</v>
      </c>
      <c r="D121" s="8">
        <v>511701.12</v>
      </c>
      <c r="E121" s="8">
        <v>1322910.87</v>
      </c>
      <c r="F121" s="8">
        <v>0.0</v>
      </c>
      <c r="G121" s="8">
        <v>0.0</v>
      </c>
      <c r="H121" s="8">
        <v>0.0</v>
      </c>
      <c r="I121" s="8">
        <v>1.2419317332E8</v>
      </c>
      <c r="J121" s="8">
        <v>1.2419317332E8</v>
      </c>
      <c r="K121" s="8">
        <v>0.0</v>
      </c>
      <c r="L121" s="8">
        <v>0.0</v>
      </c>
      <c r="M121" s="8">
        <v>0.0</v>
      </c>
      <c r="N121" s="8">
        <v>0.0</v>
      </c>
      <c r="O121" s="11">
        <v>49577.0</v>
      </c>
      <c r="P121" s="10"/>
      <c r="Q121" s="8">
        <v>0.0</v>
      </c>
      <c r="R121" s="8">
        <v>511701.12</v>
      </c>
      <c r="S121" s="8">
        <v>1322910.87</v>
      </c>
      <c r="T121" s="8">
        <v>0.0</v>
      </c>
      <c r="U121" s="8">
        <v>0.0</v>
      </c>
      <c r="V121" s="8">
        <v>0.0</v>
      </c>
      <c r="W121" s="8">
        <v>0.0</v>
      </c>
      <c r="X121" s="8">
        <v>0.0</v>
      </c>
      <c r="Y121" s="8">
        <v>0.0</v>
      </c>
      <c r="Z121" s="8">
        <v>0.0</v>
      </c>
      <c r="AA121" s="8">
        <v>0.0</v>
      </c>
      <c r="AB121" s="8">
        <v>0.0</v>
      </c>
      <c r="AC121" s="8">
        <v>1834611.99</v>
      </c>
      <c r="AD121" s="3" t="s">
        <v>36</v>
      </c>
      <c r="AE121" s="10"/>
      <c r="AF121" s="3">
        <v>0.0</v>
      </c>
      <c r="AG121" s="8">
        <v>12.73</v>
      </c>
      <c r="AH121" s="8">
        <v>18.58</v>
      </c>
    </row>
    <row r="122">
      <c r="A122" s="3">
        <v>121.0</v>
      </c>
      <c r="B122" s="8">
        <v>1834611.99</v>
      </c>
      <c r="C122" s="8">
        <v>1834611.99</v>
      </c>
      <c r="D122" s="8">
        <v>517129.41</v>
      </c>
      <c r="E122" s="8">
        <v>1317482.58</v>
      </c>
      <c r="F122" s="8">
        <v>0.0</v>
      </c>
      <c r="G122" s="8">
        <v>0.0</v>
      </c>
      <c r="H122" s="8">
        <v>0.0</v>
      </c>
      <c r="I122" s="8">
        <v>1.2367604391E8</v>
      </c>
      <c r="J122" s="8">
        <v>1.2367604391E8</v>
      </c>
      <c r="K122" s="8">
        <v>0.0</v>
      </c>
      <c r="L122" s="8">
        <v>0.0</v>
      </c>
      <c r="M122" s="8">
        <v>0.0</v>
      </c>
      <c r="N122" s="8">
        <v>0.0</v>
      </c>
      <c r="O122" s="9">
        <v>49607.0</v>
      </c>
      <c r="P122" s="10"/>
      <c r="Q122" s="8">
        <v>0.0</v>
      </c>
      <c r="R122" s="8">
        <v>517129.41</v>
      </c>
      <c r="S122" s="8">
        <v>1317482.58</v>
      </c>
      <c r="T122" s="8">
        <v>0.0</v>
      </c>
      <c r="U122" s="8">
        <v>0.0</v>
      </c>
      <c r="V122" s="8">
        <v>0.0</v>
      </c>
      <c r="W122" s="8">
        <v>0.0</v>
      </c>
      <c r="X122" s="8">
        <v>0.0</v>
      </c>
      <c r="Y122" s="8">
        <v>0.0</v>
      </c>
      <c r="Z122" s="8">
        <v>0.0</v>
      </c>
      <c r="AA122" s="8">
        <v>0.0</v>
      </c>
      <c r="AB122" s="8">
        <v>0.0</v>
      </c>
      <c r="AC122" s="8">
        <v>1834611.99</v>
      </c>
      <c r="AD122" s="3" t="s">
        <v>36</v>
      </c>
      <c r="AE122" s="10"/>
      <c r="AF122" s="3">
        <v>0.0</v>
      </c>
      <c r="AG122" s="8">
        <v>12.73</v>
      </c>
      <c r="AH122" s="8">
        <v>18.58</v>
      </c>
    </row>
    <row r="123">
      <c r="A123" s="3">
        <v>122.0</v>
      </c>
      <c r="B123" s="8">
        <v>1834611.99</v>
      </c>
      <c r="C123" s="8">
        <v>1834611.99</v>
      </c>
      <c r="D123" s="8">
        <v>522615.3</v>
      </c>
      <c r="E123" s="8">
        <v>1311996.69</v>
      </c>
      <c r="F123" s="8">
        <v>0.0</v>
      </c>
      <c r="G123" s="8">
        <v>0.0</v>
      </c>
      <c r="H123" s="8">
        <v>0.0</v>
      </c>
      <c r="I123" s="8">
        <v>1.2315342861E8</v>
      </c>
      <c r="J123" s="8">
        <v>1.2315342861E8</v>
      </c>
      <c r="K123" s="8">
        <v>0.0</v>
      </c>
      <c r="L123" s="8">
        <v>0.0</v>
      </c>
      <c r="M123" s="8">
        <v>0.0</v>
      </c>
      <c r="N123" s="8">
        <v>0.0</v>
      </c>
      <c r="O123" s="9">
        <v>49638.0</v>
      </c>
      <c r="P123" s="10"/>
      <c r="Q123" s="8">
        <v>0.0</v>
      </c>
      <c r="R123" s="8">
        <v>522615.3</v>
      </c>
      <c r="S123" s="8">
        <v>1311996.69</v>
      </c>
      <c r="T123" s="8">
        <v>0.0</v>
      </c>
      <c r="U123" s="8">
        <v>0.0</v>
      </c>
      <c r="V123" s="8">
        <v>0.0</v>
      </c>
      <c r="W123" s="8">
        <v>0.0</v>
      </c>
      <c r="X123" s="8">
        <v>0.0</v>
      </c>
      <c r="Y123" s="8">
        <v>0.0</v>
      </c>
      <c r="Z123" s="8">
        <v>0.0</v>
      </c>
      <c r="AA123" s="8">
        <v>0.0</v>
      </c>
      <c r="AB123" s="8">
        <v>0.0</v>
      </c>
      <c r="AC123" s="8">
        <v>1834611.99</v>
      </c>
      <c r="AD123" s="3" t="s">
        <v>36</v>
      </c>
      <c r="AE123" s="10"/>
      <c r="AF123" s="3">
        <v>0.0</v>
      </c>
      <c r="AG123" s="8">
        <v>12.73</v>
      </c>
      <c r="AH123" s="8">
        <v>18.58</v>
      </c>
    </row>
    <row r="124">
      <c r="A124" s="3">
        <v>123.0</v>
      </c>
      <c r="B124" s="8">
        <v>1834611.99</v>
      </c>
      <c r="C124" s="8">
        <v>1834611.99</v>
      </c>
      <c r="D124" s="8">
        <v>528159.37</v>
      </c>
      <c r="E124" s="8">
        <v>1306452.62</v>
      </c>
      <c r="F124" s="8">
        <v>0.0</v>
      </c>
      <c r="G124" s="8">
        <v>0.0</v>
      </c>
      <c r="H124" s="8">
        <v>0.0</v>
      </c>
      <c r="I124" s="8">
        <v>1.2262526924E8</v>
      </c>
      <c r="J124" s="8">
        <v>1.2262526924E8</v>
      </c>
      <c r="K124" s="8">
        <v>0.0</v>
      </c>
      <c r="L124" s="8">
        <v>0.0</v>
      </c>
      <c r="M124" s="8">
        <v>0.0</v>
      </c>
      <c r="N124" s="8">
        <v>0.0</v>
      </c>
      <c r="O124" s="9">
        <v>49668.0</v>
      </c>
      <c r="P124" s="10"/>
      <c r="Q124" s="8">
        <v>0.0</v>
      </c>
      <c r="R124" s="8">
        <v>528159.37</v>
      </c>
      <c r="S124" s="8">
        <v>1306452.62</v>
      </c>
      <c r="T124" s="8">
        <v>0.0</v>
      </c>
      <c r="U124" s="8">
        <v>0.0</v>
      </c>
      <c r="V124" s="8">
        <v>0.0</v>
      </c>
      <c r="W124" s="8">
        <v>0.0</v>
      </c>
      <c r="X124" s="8">
        <v>0.0</v>
      </c>
      <c r="Y124" s="8">
        <v>0.0</v>
      </c>
      <c r="Z124" s="8">
        <v>0.0</v>
      </c>
      <c r="AA124" s="8">
        <v>0.0</v>
      </c>
      <c r="AB124" s="8">
        <v>0.0</v>
      </c>
      <c r="AC124" s="8">
        <v>1834611.99</v>
      </c>
      <c r="AD124" s="3" t="s">
        <v>36</v>
      </c>
      <c r="AE124" s="10"/>
      <c r="AF124" s="3">
        <v>0.0</v>
      </c>
      <c r="AG124" s="8">
        <v>12.73</v>
      </c>
      <c r="AH124" s="8">
        <v>18.58</v>
      </c>
    </row>
    <row r="125">
      <c r="A125" s="3">
        <v>124.0</v>
      </c>
      <c r="B125" s="8">
        <v>1834611.99</v>
      </c>
      <c r="C125" s="8">
        <v>1834611.99</v>
      </c>
      <c r="D125" s="8">
        <v>533762.26</v>
      </c>
      <c r="E125" s="8">
        <v>1300849.73</v>
      </c>
      <c r="F125" s="8">
        <v>0.0</v>
      </c>
      <c r="G125" s="8">
        <v>0.0</v>
      </c>
      <c r="H125" s="8">
        <v>0.0</v>
      </c>
      <c r="I125" s="8">
        <v>1.2209150698E8</v>
      </c>
      <c r="J125" s="8">
        <v>1.2209150698E8</v>
      </c>
      <c r="K125" s="8">
        <v>0.0</v>
      </c>
      <c r="L125" s="8">
        <v>0.0</v>
      </c>
      <c r="M125" s="8">
        <v>0.0</v>
      </c>
      <c r="N125" s="8">
        <v>0.0</v>
      </c>
      <c r="O125" s="11">
        <v>49699.0</v>
      </c>
      <c r="P125" s="10"/>
      <c r="Q125" s="8">
        <v>0.0</v>
      </c>
      <c r="R125" s="8">
        <v>533762.26</v>
      </c>
      <c r="S125" s="8">
        <v>1300849.73</v>
      </c>
      <c r="T125" s="8">
        <v>0.0</v>
      </c>
      <c r="U125" s="8">
        <v>0.0</v>
      </c>
      <c r="V125" s="8">
        <v>0.0</v>
      </c>
      <c r="W125" s="8">
        <v>0.0</v>
      </c>
      <c r="X125" s="8">
        <v>0.0</v>
      </c>
      <c r="Y125" s="8">
        <v>0.0</v>
      </c>
      <c r="Z125" s="8">
        <v>0.0</v>
      </c>
      <c r="AA125" s="8">
        <v>0.0</v>
      </c>
      <c r="AB125" s="8">
        <v>0.0</v>
      </c>
      <c r="AC125" s="8">
        <v>1834611.99</v>
      </c>
      <c r="AD125" s="3" t="s">
        <v>36</v>
      </c>
      <c r="AE125" s="10"/>
      <c r="AF125" s="3">
        <v>0.0</v>
      </c>
      <c r="AG125" s="8">
        <v>12.73</v>
      </c>
      <c r="AH125" s="8">
        <v>18.58</v>
      </c>
    </row>
    <row r="126">
      <c r="A126" s="3">
        <v>125.0</v>
      </c>
      <c r="B126" s="8">
        <v>1834611.99</v>
      </c>
      <c r="C126" s="8">
        <v>1834611.99</v>
      </c>
      <c r="D126" s="8">
        <v>539424.59</v>
      </c>
      <c r="E126" s="8">
        <v>1295187.4</v>
      </c>
      <c r="F126" s="8">
        <v>0.0</v>
      </c>
      <c r="G126" s="8">
        <v>0.0</v>
      </c>
      <c r="H126" s="8">
        <v>0.0</v>
      </c>
      <c r="I126" s="8">
        <v>1.2155208239E8</v>
      </c>
      <c r="J126" s="8">
        <v>1.2155208239E8</v>
      </c>
      <c r="K126" s="8">
        <v>0.0</v>
      </c>
      <c r="L126" s="8">
        <v>0.0</v>
      </c>
      <c r="M126" s="8">
        <v>0.0</v>
      </c>
      <c r="N126" s="8">
        <v>0.0</v>
      </c>
      <c r="O126" s="11">
        <v>49730.0</v>
      </c>
      <c r="P126" s="10"/>
      <c r="Q126" s="8">
        <v>0.0</v>
      </c>
      <c r="R126" s="8">
        <v>539424.59</v>
      </c>
      <c r="S126" s="8">
        <v>1295187.4</v>
      </c>
      <c r="T126" s="8">
        <v>0.0</v>
      </c>
      <c r="U126" s="8">
        <v>0.0</v>
      </c>
      <c r="V126" s="8">
        <v>0.0</v>
      </c>
      <c r="W126" s="8">
        <v>0.0</v>
      </c>
      <c r="X126" s="8">
        <v>0.0</v>
      </c>
      <c r="Y126" s="8">
        <v>0.0</v>
      </c>
      <c r="Z126" s="8">
        <v>0.0</v>
      </c>
      <c r="AA126" s="8">
        <v>0.0</v>
      </c>
      <c r="AB126" s="8">
        <v>0.0</v>
      </c>
      <c r="AC126" s="8">
        <v>1834611.99</v>
      </c>
      <c r="AD126" s="3" t="s">
        <v>36</v>
      </c>
      <c r="AE126" s="10"/>
      <c r="AF126" s="3">
        <v>0.0</v>
      </c>
      <c r="AG126" s="8">
        <v>12.73</v>
      </c>
      <c r="AH126" s="8">
        <v>18.58</v>
      </c>
    </row>
    <row r="127">
      <c r="A127" s="3">
        <v>126.0</v>
      </c>
      <c r="B127" s="8">
        <v>1834611.99</v>
      </c>
      <c r="C127" s="8">
        <v>1834611.99</v>
      </c>
      <c r="D127" s="8">
        <v>545146.99</v>
      </c>
      <c r="E127" s="8">
        <v>1289465.0</v>
      </c>
      <c r="F127" s="8">
        <v>0.0</v>
      </c>
      <c r="G127" s="8">
        <v>0.0</v>
      </c>
      <c r="H127" s="8">
        <v>0.0</v>
      </c>
      <c r="I127" s="8">
        <v>1.210069354E8</v>
      </c>
      <c r="J127" s="8">
        <v>1.210069354E8</v>
      </c>
      <c r="K127" s="8">
        <v>0.0</v>
      </c>
      <c r="L127" s="8">
        <v>0.0</v>
      </c>
      <c r="M127" s="8">
        <v>0.0</v>
      </c>
      <c r="N127" s="8">
        <v>0.0</v>
      </c>
      <c r="O127" s="11">
        <v>49759.0</v>
      </c>
      <c r="P127" s="10"/>
      <c r="Q127" s="8">
        <v>0.0</v>
      </c>
      <c r="R127" s="8">
        <v>545146.99</v>
      </c>
      <c r="S127" s="8">
        <v>1289465.0</v>
      </c>
      <c r="T127" s="8">
        <v>0.0</v>
      </c>
      <c r="U127" s="8">
        <v>0.0</v>
      </c>
      <c r="V127" s="8">
        <v>0.0</v>
      </c>
      <c r="W127" s="8">
        <v>0.0</v>
      </c>
      <c r="X127" s="8">
        <v>0.0</v>
      </c>
      <c r="Y127" s="8">
        <v>0.0</v>
      </c>
      <c r="Z127" s="8">
        <v>0.0</v>
      </c>
      <c r="AA127" s="8">
        <v>0.0</v>
      </c>
      <c r="AB127" s="8">
        <v>0.0</v>
      </c>
      <c r="AC127" s="8">
        <v>1834611.99</v>
      </c>
      <c r="AD127" s="3" t="s">
        <v>36</v>
      </c>
      <c r="AE127" s="10"/>
      <c r="AF127" s="3">
        <v>0.0</v>
      </c>
      <c r="AG127" s="8">
        <v>12.73</v>
      </c>
      <c r="AH127" s="8">
        <v>18.58</v>
      </c>
    </row>
    <row r="128">
      <c r="A128" s="3">
        <v>127.0</v>
      </c>
      <c r="B128" s="8">
        <v>1834611.99</v>
      </c>
      <c r="C128" s="8">
        <v>1834611.99</v>
      </c>
      <c r="D128" s="8">
        <v>550930.09</v>
      </c>
      <c r="E128" s="8">
        <v>1283681.9</v>
      </c>
      <c r="F128" s="8">
        <v>0.0</v>
      </c>
      <c r="G128" s="8">
        <v>0.0</v>
      </c>
      <c r="H128" s="8">
        <v>0.0</v>
      </c>
      <c r="I128" s="8">
        <v>1.2045600531E8</v>
      </c>
      <c r="J128" s="8">
        <v>1.2045600531E8</v>
      </c>
      <c r="K128" s="8">
        <v>0.0</v>
      </c>
      <c r="L128" s="8">
        <v>0.0</v>
      </c>
      <c r="M128" s="8">
        <v>0.0</v>
      </c>
      <c r="N128" s="8">
        <v>0.0</v>
      </c>
      <c r="O128" s="11">
        <v>49790.0</v>
      </c>
      <c r="P128" s="10"/>
      <c r="Q128" s="8">
        <v>0.0</v>
      </c>
      <c r="R128" s="8">
        <v>550930.09</v>
      </c>
      <c r="S128" s="8">
        <v>1283681.9</v>
      </c>
      <c r="T128" s="8">
        <v>0.0</v>
      </c>
      <c r="U128" s="8">
        <v>0.0</v>
      </c>
      <c r="V128" s="8">
        <v>0.0</v>
      </c>
      <c r="W128" s="8">
        <v>0.0</v>
      </c>
      <c r="X128" s="8">
        <v>0.0</v>
      </c>
      <c r="Y128" s="8">
        <v>0.0</v>
      </c>
      <c r="Z128" s="8">
        <v>0.0</v>
      </c>
      <c r="AA128" s="8">
        <v>0.0</v>
      </c>
      <c r="AB128" s="8">
        <v>0.0</v>
      </c>
      <c r="AC128" s="8">
        <v>1834611.99</v>
      </c>
      <c r="AD128" s="3" t="s">
        <v>36</v>
      </c>
      <c r="AE128" s="10"/>
      <c r="AF128" s="3">
        <v>0.0</v>
      </c>
      <c r="AG128" s="8">
        <v>12.73</v>
      </c>
      <c r="AH128" s="8">
        <v>18.58</v>
      </c>
    </row>
    <row r="129">
      <c r="A129" s="3">
        <v>128.0</v>
      </c>
      <c r="B129" s="8">
        <v>1834611.99</v>
      </c>
      <c r="C129" s="8">
        <v>1834611.99</v>
      </c>
      <c r="D129" s="8">
        <v>556774.54</v>
      </c>
      <c r="E129" s="8">
        <v>1277837.45</v>
      </c>
      <c r="F129" s="8">
        <v>0.0</v>
      </c>
      <c r="G129" s="8">
        <v>0.0</v>
      </c>
      <c r="H129" s="8">
        <v>0.0</v>
      </c>
      <c r="I129" s="8">
        <v>1.1989923077E8</v>
      </c>
      <c r="J129" s="8">
        <v>1.1989923077E8</v>
      </c>
      <c r="K129" s="8">
        <v>0.0</v>
      </c>
      <c r="L129" s="8">
        <v>0.0</v>
      </c>
      <c r="M129" s="8">
        <v>0.0</v>
      </c>
      <c r="N129" s="8">
        <v>0.0</v>
      </c>
      <c r="O129" s="11">
        <v>49820.0</v>
      </c>
      <c r="P129" s="10"/>
      <c r="Q129" s="8">
        <v>0.0</v>
      </c>
      <c r="R129" s="8">
        <v>556774.54</v>
      </c>
      <c r="S129" s="8">
        <v>1277837.45</v>
      </c>
      <c r="T129" s="8">
        <v>0.0</v>
      </c>
      <c r="U129" s="8">
        <v>0.0</v>
      </c>
      <c r="V129" s="8">
        <v>0.0</v>
      </c>
      <c r="W129" s="8">
        <v>0.0</v>
      </c>
      <c r="X129" s="8">
        <v>0.0</v>
      </c>
      <c r="Y129" s="8">
        <v>0.0</v>
      </c>
      <c r="Z129" s="8">
        <v>0.0</v>
      </c>
      <c r="AA129" s="8">
        <v>0.0</v>
      </c>
      <c r="AB129" s="8">
        <v>0.0</v>
      </c>
      <c r="AC129" s="8">
        <v>1834611.99</v>
      </c>
      <c r="AD129" s="3" t="s">
        <v>36</v>
      </c>
      <c r="AE129" s="10"/>
      <c r="AF129" s="3">
        <v>0.0</v>
      </c>
      <c r="AG129" s="8">
        <v>12.73</v>
      </c>
      <c r="AH129" s="8">
        <v>18.58</v>
      </c>
    </row>
    <row r="130">
      <c r="A130" s="3">
        <v>129.0</v>
      </c>
      <c r="B130" s="8">
        <v>1834611.99</v>
      </c>
      <c r="C130" s="8">
        <v>1834611.99</v>
      </c>
      <c r="D130" s="8">
        <v>562680.99</v>
      </c>
      <c r="E130" s="8">
        <v>1271931.0</v>
      </c>
      <c r="F130" s="8">
        <v>0.0</v>
      </c>
      <c r="G130" s="8">
        <v>0.0</v>
      </c>
      <c r="H130" s="8">
        <v>0.0</v>
      </c>
      <c r="I130" s="8">
        <v>1.1933654978E8</v>
      </c>
      <c r="J130" s="8">
        <v>1.1933654978E8</v>
      </c>
      <c r="K130" s="8">
        <v>0.0</v>
      </c>
      <c r="L130" s="8">
        <v>0.0</v>
      </c>
      <c r="M130" s="8">
        <v>0.0</v>
      </c>
      <c r="N130" s="8">
        <v>0.0</v>
      </c>
      <c r="O130" s="11">
        <v>49851.0</v>
      </c>
      <c r="P130" s="10"/>
      <c r="Q130" s="8">
        <v>0.0</v>
      </c>
      <c r="R130" s="8">
        <v>562680.99</v>
      </c>
      <c r="S130" s="8">
        <v>1271931.0</v>
      </c>
      <c r="T130" s="8">
        <v>0.0</v>
      </c>
      <c r="U130" s="8">
        <v>0.0</v>
      </c>
      <c r="V130" s="8">
        <v>0.0</v>
      </c>
      <c r="W130" s="8">
        <v>0.0</v>
      </c>
      <c r="X130" s="8">
        <v>0.0</v>
      </c>
      <c r="Y130" s="8">
        <v>0.0</v>
      </c>
      <c r="Z130" s="8">
        <v>0.0</v>
      </c>
      <c r="AA130" s="8">
        <v>0.0</v>
      </c>
      <c r="AB130" s="8">
        <v>0.0</v>
      </c>
      <c r="AC130" s="8">
        <v>1834611.99</v>
      </c>
      <c r="AD130" s="3" t="s">
        <v>36</v>
      </c>
      <c r="AE130" s="10"/>
      <c r="AF130" s="3">
        <v>0.0</v>
      </c>
      <c r="AG130" s="8">
        <v>12.73</v>
      </c>
      <c r="AH130" s="8">
        <v>18.58</v>
      </c>
    </row>
    <row r="131">
      <c r="A131" s="3">
        <v>130.0</v>
      </c>
      <c r="B131" s="8">
        <v>1834611.99</v>
      </c>
      <c r="C131" s="8">
        <v>1834611.99</v>
      </c>
      <c r="D131" s="8">
        <v>568650.1</v>
      </c>
      <c r="E131" s="8">
        <v>1265961.89</v>
      </c>
      <c r="F131" s="8">
        <v>0.0</v>
      </c>
      <c r="G131" s="8">
        <v>0.0</v>
      </c>
      <c r="H131" s="8">
        <v>0.0</v>
      </c>
      <c r="I131" s="8">
        <v>1.1876789968E8</v>
      </c>
      <c r="J131" s="8">
        <v>1.1876789968E8</v>
      </c>
      <c r="K131" s="8">
        <v>0.0</v>
      </c>
      <c r="L131" s="8">
        <v>0.0</v>
      </c>
      <c r="M131" s="8">
        <v>0.0</v>
      </c>
      <c r="N131" s="8">
        <v>0.0</v>
      </c>
      <c r="O131" s="11">
        <v>49881.0</v>
      </c>
      <c r="P131" s="10"/>
      <c r="Q131" s="8">
        <v>0.0</v>
      </c>
      <c r="R131" s="8">
        <v>568650.1</v>
      </c>
      <c r="S131" s="8">
        <v>1265961.89</v>
      </c>
      <c r="T131" s="8">
        <v>0.0</v>
      </c>
      <c r="U131" s="8">
        <v>0.0</v>
      </c>
      <c r="V131" s="8">
        <v>0.0</v>
      </c>
      <c r="W131" s="8">
        <v>0.0</v>
      </c>
      <c r="X131" s="8">
        <v>0.0</v>
      </c>
      <c r="Y131" s="8">
        <v>0.0</v>
      </c>
      <c r="Z131" s="8">
        <v>0.0</v>
      </c>
      <c r="AA131" s="8">
        <v>0.0</v>
      </c>
      <c r="AB131" s="8">
        <v>0.0</v>
      </c>
      <c r="AC131" s="8">
        <v>1834611.99</v>
      </c>
      <c r="AD131" s="3" t="s">
        <v>36</v>
      </c>
      <c r="AE131" s="10"/>
      <c r="AF131" s="3">
        <v>0.0</v>
      </c>
      <c r="AG131" s="8">
        <v>12.73</v>
      </c>
      <c r="AH131" s="8">
        <v>18.58</v>
      </c>
    </row>
    <row r="132">
      <c r="A132" s="3">
        <v>131.0</v>
      </c>
      <c r="B132" s="8">
        <v>1834611.99</v>
      </c>
      <c r="C132" s="8">
        <v>1834611.99</v>
      </c>
      <c r="D132" s="8">
        <v>574682.53</v>
      </c>
      <c r="E132" s="8">
        <v>1259929.46</v>
      </c>
      <c r="F132" s="8">
        <v>0.0</v>
      </c>
      <c r="G132" s="8">
        <v>0.0</v>
      </c>
      <c r="H132" s="8">
        <v>0.0</v>
      </c>
      <c r="I132" s="8">
        <v>1.1819321715E8</v>
      </c>
      <c r="J132" s="8">
        <v>1.1819321715E8</v>
      </c>
      <c r="K132" s="8">
        <v>0.0</v>
      </c>
      <c r="L132" s="8">
        <v>0.0</v>
      </c>
      <c r="M132" s="8">
        <v>0.0</v>
      </c>
      <c r="N132" s="8">
        <v>0.0</v>
      </c>
      <c r="O132" s="11">
        <v>49912.0</v>
      </c>
      <c r="P132" s="10"/>
      <c r="Q132" s="8">
        <v>0.0</v>
      </c>
      <c r="R132" s="8">
        <v>574682.53</v>
      </c>
      <c r="S132" s="8">
        <v>1259929.46</v>
      </c>
      <c r="T132" s="8">
        <v>0.0</v>
      </c>
      <c r="U132" s="8">
        <v>0.0</v>
      </c>
      <c r="V132" s="8">
        <v>0.0</v>
      </c>
      <c r="W132" s="8">
        <v>0.0</v>
      </c>
      <c r="X132" s="8">
        <v>0.0</v>
      </c>
      <c r="Y132" s="8">
        <v>0.0</v>
      </c>
      <c r="Z132" s="8">
        <v>0.0</v>
      </c>
      <c r="AA132" s="8">
        <v>0.0</v>
      </c>
      <c r="AB132" s="8">
        <v>0.0</v>
      </c>
      <c r="AC132" s="8">
        <v>1834611.99</v>
      </c>
      <c r="AD132" s="3" t="s">
        <v>36</v>
      </c>
      <c r="AE132" s="10"/>
      <c r="AF132" s="3">
        <v>0.0</v>
      </c>
      <c r="AG132" s="8">
        <v>12.73</v>
      </c>
      <c r="AH132" s="8">
        <v>18.58</v>
      </c>
    </row>
    <row r="133">
      <c r="A133" s="3">
        <v>132.0</v>
      </c>
      <c r="B133" s="8">
        <v>1834611.99</v>
      </c>
      <c r="C133" s="8">
        <v>1834611.99</v>
      </c>
      <c r="D133" s="8">
        <v>580778.95</v>
      </c>
      <c r="E133" s="8">
        <v>1253833.04</v>
      </c>
      <c r="F133" s="8">
        <v>0.0</v>
      </c>
      <c r="G133" s="8">
        <v>0.0</v>
      </c>
      <c r="H133" s="8">
        <v>0.0</v>
      </c>
      <c r="I133" s="8">
        <v>1.176124382E8</v>
      </c>
      <c r="J133" s="8">
        <v>1.176124382E8</v>
      </c>
      <c r="K133" s="8">
        <v>0.0</v>
      </c>
      <c r="L133" s="8">
        <v>0.0</v>
      </c>
      <c r="M133" s="8">
        <v>0.0</v>
      </c>
      <c r="N133" s="8">
        <v>0.0</v>
      </c>
      <c r="O133" s="11">
        <v>49943.0</v>
      </c>
      <c r="P133" s="10"/>
      <c r="Q133" s="8">
        <v>0.0</v>
      </c>
      <c r="R133" s="8">
        <v>580778.95</v>
      </c>
      <c r="S133" s="8">
        <v>1253833.04</v>
      </c>
      <c r="T133" s="8">
        <v>0.0</v>
      </c>
      <c r="U133" s="8">
        <v>0.0</v>
      </c>
      <c r="V133" s="8">
        <v>0.0</v>
      </c>
      <c r="W133" s="8">
        <v>0.0</v>
      </c>
      <c r="X133" s="8">
        <v>0.0</v>
      </c>
      <c r="Y133" s="8">
        <v>0.0</v>
      </c>
      <c r="Z133" s="8">
        <v>0.0</v>
      </c>
      <c r="AA133" s="8">
        <v>0.0</v>
      </c>
      <c r="AB133" s="8">
        <v>0.0</v>
      </c>
      <c r="AC133" s="8">
        <v>1834611.99</v>
      </c>
      <c r="AD133" s="3" t="s">
        <v>36</v>
      </c>
      <c r="AE133" s="10"/>
      <c r="AF133" s="3">
        <v>0.0</v>
      </c>
      <c r="AG133" s="8">
        <v>12.73</v>
      </c>
      <c r="AH133" s="8">
        <v>18.58</v>
      </c>
    </row>
    <row r="134">
      <c r="A134" s="3">
        <v>133.0</v>
      </c>
      <c r="B134" s="8">
        <v>1834611.99</v>
      </c>
      <c r="C134" s="8">
        <v>1834611.99</v>
      </c>
      <c r="D134" s="8">
        <v>586940.05</v>
      </c>
      <c r="E134" s="8">
        <v>1247671.94</v>
      </c>
      <c r="F134" s="8">
        <v>0.0</v>
      </c>
      <c r="G134" s="8">
        <v>0.0</v>
      </c>
      <c r="H134" s="8">
        <v>0.0</v>
      </c>
      <c r="I134" s="8">
        <v>1.1702549815E8</v>
      </c>
      <c r="J134" s="8">
        <v>1.1702549815E8</v>
      </c>
      <c r="K134" s="8">
        <v>0.0</v>
      </c>
      <c r="L134" s="8">
        <v>0.0</v>
      </c>
      <c r="M134" s="8">
        <v>0.0</v>
      </c>
      <c r="N134" s="8">
        <v>0.0</v>
      </c>
      <c r="O134" s="9">
        <v>49973.0</v>
      </c>
      <c r="P134" s="10"/>
      <c r="Q134" s="8">
        <v>0.0</v>
      </c>
      <c r="R134" s="8">
        <v>586940.05</v>
      </c>
      <c r="S134" s="8">
        <v>1247671.94</v>
      </c>
      <c r="T134" s="8">
        <v>0.0</v>
      </c>
      <c r="U134" s="8">
        <v>0.0</v>
      </c>
      <c r="V134" s="8">
        <v>0.0</v>
      </c>
      <c r="W134" s="8">
        <v>0.0</v>
      </c>
      <c r="X134" s="8">
        <v>0.0</v>
      </c>
      <c r="Y134" s="8">
        <v>0.0</v>
      </c>
      <c r="Z134" s="8">
        <v>0.0</v>
      </c>
      <c r="AA134" s="8">
        <v>0.0</v>
      </c>
      <c r="AB134" s="8">
        <v>0.0</v>
      </c>
      <c r="AC134" s="8">
        <v>1834611.99</v>
      </c>
      <c r="AD134" s="3" t="s">
        <v>36</v>
      </c>
      <c r="AE134" s="10"/>
      <c r="AF134" s="3">
        <v>0.0</v>
      </c>
      <c r="AG134" s="8">
        <v>12.73</v>
      </c>
      <c r="AH134" s="8">
        <v>18.58</v>
      </c>
    </row>
    <row r="135">
      <c r="A135" s="3">
        <v>134.0</v>
      </c>
      <c r="B135" s="8">
        <v>1834611.99</v>
      </c>
      <c r="C135" s="8">
        <v>1834611.99</v>
      </c>
      <c r="D135" s="8">
        <v>593166.5</v>
      </c>
      <c r="E135" s="8">
        <v>1241445.49</v>
      </c>
      <c r="F135" s="8">
        <v>0.0</v>
      </c>
      <c r="G135" s="8">
        <v>0.0</v>
      </c>
      <c r="H135" s="8">
        <v>0.0</v>
      </c>
      <c r="I135" s="8">
        <v>1.1643233165E8</v>
      </c>
      <c r="J135" s="8">
        <v>1.1643233165E8</v>
      </c>
      <c r="K135" s="8">
        <v>0.0</v>
      </c>
      <c r="L135" s="8">
        <v>0.0</v>
      </c>
      <c r="M135" s="8">
        <v>0.0</v>
      </c>
      <c r="N135" s="8">
        <v>0.0</v>
      </c>
      <c r="O135" s="9">
        <v>50004.0</v>
      </c>
      <c r="P135" s="10"/>
      <c r="Q135" s="8">
        <v>0.0</v>
      </c>
      <c r="R135" s="8">
        <v>593166.5</v>
      </c>
      <c r="S135" s="8">
        <v>1241445.49</v>
      </c>
      <c r="T135" s="8">
        <v>0.0</v>
      </c>
      <c r="U135" s="8">
        <v>0.0</v>
      </c>
      <c r="V135" s="8">
        <v>0.0</v>
      </c>
      <c r="W135" s="8">
        <v>0.0</v>
      </c>
      <c r="X135" s="8">
        <v>0.0</v>
      </c>
      <c r="Y135" s="8">
        <v>0.0</v>
      </c>
      <c r="Z135" s="8">
        <v>0.0</v>
      </c>
      <c r="AA135" s="8">
        <v>0.0</v>
      </c>
      <c r="AB135" s="8">
        <v>0.0</v>
      </c>
      <c r="AC135" s="8">
        <v>1834611.99</v>
      </c>
      <c r="AD135" s="3" t="s">
        <v>36</v>
      </c>
      <c r="AE135" s="10"/>
      <c r="AF135" s="3">
        <v>0.0</v>
      </c>
      <c r="AG135" s="8">
        <v>12.73</v>
      </c>
      <c r="AH135" s="8">
        <v>18.58</v>
      </c>
    </row>
    <row r="136">
      <c r="A136" s="3">
        <v>135.0</v>
      </c>
      <c r="B136" s="8">
        <v>1834611.99</v>
      </c>
      <c r="C136" s="8">
        <v>1834611.99</v>
      </c>
      <c r="D136" s="8">
        <v>599459.01</v>
      </c>
      <c r="E136" s="8">
        <v>1235152.98</v>
      </c>
      <c r="F136" s="8">
        <v>0.0</v>
      </c>
      <c r="G136" s="8">
        <v>0.0</v>
      </c>
      <c r="H136" s="8">
        <v>0.0</v>
      </c>
      <c r="I136" s="8">
        <v>1.1583287264E8</v>
      </c>
      <c r="J136" s="8">
        <v>1.1583287264E8</v>
      </c>
      <c r="K136" s="8">
        <v>0.0</v>
      </c>
      <c r="L136" s="8">
        <v>0.0</v>
      </c>
      <c r="M136" s="8">
        <v>0.0</v>
      </c>
      <c r="N136" s="8">
        <v>0.0</v>
      </c>
      <c r="O136" s="9">
        <v>50034.0</v>
      </c>
      <c r="P136" s="10"/>
      <c r="Q136" s="8">
        <v>0.0</v>
      </c>
      <c r="R136" s="8">
        <v>599459.01</v>
      </c>
      <c r="S136" s="8">
        <v>1235152.98</v>
      </c>
      <c r="T136" s="8">
        <v>0.0</v>
      </c>
      <c r="U136" s="8">
        <v>0.0</v>
      </c>
      <c r="V136" s="8">
        <v>0.0</v>
      </c>
      <c r="W136" s="8">
        <v>0.0</v>
      </c>
      <c r="X136" s="8">
        <v>0.0</v>
      </c>
      <c r="Y136" s="8">
        <v>0.0</v>
      </c>
      <c r="Z136" s="8">
        <v>0.0</v>
      </c>
      <c r="AA136" s="8">
        <v>0.0</v>
      </c>
      <c r="AB136" s="8">
        <v>0.0</v>
      </c>
      <c r="AC136" s="8">
        <v>1834611.99</v>
      </c>
      <c r="AD136" s="3" t="s">
        <v>36</v>
      </c>
      <c r="AE136" s="10"/>
      <c r="AF136" s="3">
        <v>0.0</v>
      </c>
      <c r="AG136" s="8">
        <v>12.73</v>
      </c>
      <c r="AH136" s="8">
        <v>18.58</v>
      </c>
    </row>
    <row r="137">
      <c r="A137" s="3">
        <v>136.0</v>
      </c>
      <c r="B137" s="8">
        <v>1834611.99</v>
      </c>
      <c r="C137" s="8">
        <v>1834611.99</v>
      </c>
      <c r="D137" s="8">
        <v>605818.27</v>
      </c>
      <c r="E137" s="8">
        <v>1228793.72</v>
      </c>
      <c r="F137" s="8">
        <v>0.0</v>
      </c>
      <c r="G137" s="8">
        <v>0.0</v>
      </c>
      <c r="H137" s="8">
        <v>0.0</v>
      </c>
      <c r="I137" s="8">
        <v>1.1522705437E8</v>
      </c>
      <c r="J137" s="8">
        <v>1.1522705437E8</v>
      </c>
      <c r="K137" s="8">
        <v>0.0</v>
      </c>
      <c r="L137" s="8">
        <v>0.0</v>
      </c>
      <c r="M137" s="8">
        <v>0.0</v>
      </c>
      <c r="N137" s="8">
        <v>0.0</v>
      </c>
      <c r="O137" s="11">
        <v>50065.0</v>
      </c>
      <c r="P137" s="10"/>
      <c r="Q137" s="8">
        <v>0.0</v>
      </c>
      <c r="R137" s="8">
        <v>605818.27</v>
      </c>
      <c r="S137" s="8">
        <v>1228793.72</v>
      </c>
      <c r="T137" s="8">
        <v>0.0</v>
      </c>
      <c r="U137" s="8">
        <v>0.0</v>
      </c>
      <c r="V137" s="8">
        <v>0.0</v>
      </c>
      <c r="W137" s="8">
        <v>0.0</v>
      </c>
      <c r="X137" s="8">
        <v>0.0</v>
      </c>
      <c r="Y137" s="8">
        <v>0.0</v>
      </c>
      <c r="Z137" s="8">
        <v>0.0</v>
      </c>
      <c r="AA137" s="8">
        <v>0.0</v>
      </c>
      <c r="AB137" s="8">
        <v>0.0</v>
      </c>
      <c r="AC137" s="8">
        <v>1834611.99</v>
      </c>
      <c r="AD137" s="3" t="s">
        <v>36</v>
      </c>
      <c r="AE137" s="10"/>
      <c r="AF137" s="3">
        <v>0.0</v>
      </c>
      <c r="AG137" s="8">
        <v>12.73</v>
      </c>
      <c r="AH137" s="8">
        <v>18.58</v>
      </c>
    </row>
    <row r="138">
      <c r="A138" s="3">
        <v>137.0</v>
      </c>
      <c r="B138" s="8">
        <v>1834611.99</v>
      </c>
      <c r="C138" s="8">
        <v>1834611.99</v>
      </c>
      <c r="D138" s="8">
        <v>612244.99</v>
      </c>
      <c r="E138" s="8">
        <v>1222367.0</v>
      </c>
      <c r="F138" s="8">
        <v>0.0</v>
      </c>
      <c r="G138" s="8">
        <v>0.0</v>
      </c>
      <c r="H138" s="8">
        <v>0.0</v>
      </c>
      <c r="I138" s="8">
        <v>1.1461480938E8</v>
      </c>
      <c r="J138" s="8">
        <v>1.1461480938E8</v>
      </c>
      <c r="K138" s="8">
        <v>0.0</v>
      </c>
      <c r="L138" s="8">
        <v>0.0</v>
      </c>
      <c r="M138" s="8">
        <v>0.0</v>
      </c>
      <c r="N138" s="8">
        <v>0.0</v>
      </c>
      <c r="O138" s="11">
        <v>50096.0</v>
      </c>
      <c r="P138" s="10"/>
      <c r="Q138" s="8">
        <v>0.0</v>
      </c>
      <c r="R138" s="8">
        <v>612244.99</v>
      </c>
      <c r="S138" s="8">
        <v>1222367.0</v>
      </c>
      <c r="T138" s="8">
        <v>0.0</v>
      </c>
      <c r="U138" s="8">
        <v>0.0</v>
      </c>
      <c r="V138" s="8">
        <v>0.0</v>
      </c>
      <c r="W138" s="8">
        <v>0.0</v>
      </c>
      <c r="X138" s="8">
        <v>0.0</v>
      </c>
      <c r="Y138" s="8">
        <v>0.0</v>
      </c>
      <c r="Z138" s="8">
        <v>0.0</v>
      </c>
      <c r="AA138" s="8">
        <v>0.0</v>
      </c>
      <c r="AB138" s="8">
        <v>0.0</v>
      </c>
      <c r="AC138" s="8">
        <v>1834611.99</v>
      </c>
      <c r="AD138" s="3" t="s">
        <v>36</v>
      </c>
      <c r="AE138" s="10"/>
      <c r="AF138" s="3">
        <v>0.0</v>
      </c>
      <c r="AG138" s="8">
        <v>12.73</v>
      </c>
      <c r="AH138" s="8">
        <v>18.58</v>
      </c>
    </row>
    <row r="139">
      <c r="A139" s="3">
        <v>138.0</v>
      </c>
      <c r="B139" s="8">
        <v>1834611.99</v>
      </c>
      <c r="C139" s="8">
        <v>1834611.99</v>
      </c>
      <c r="D139" s="8">
        <v>618739.89</v>
      </c>
      <c r="E139" s="8">
        <v>1215872.1</v>
      </c>
      <c r="F139" s="8">
        <v>0.0</v>
      </c>
      <c r="G139" s="8">
        <v>0.0</v>
      </c>
      <c r="H139" s="8">
        <v>0.0</v>
      </c>
      <c r="I139" s="8">
        <v>1.1399606949E8</v>
      </c>
      <c r="J139" s="8">
        <v>1.1399606949E8</v>
      </c>
      <c r="K139" s="8">
        <v>0.0</v>
      </c>
      <c r="L139" s="8">
        <v>0.0</v>
      </c>
      <c r="M139" s="8">
        <v>0.0</v>
      </c>
      <c r="N139" s="8">
        <v>0.0</v>
      </c>
      <c r="O139" s="11">
        <v>50124.0</v>
      </c>
      <c r="P139" s="10"/>
      <c r="Q139" s="8">
        <v>0.0</v>
      </c>
      <c r="R139" s="8">
        <v>618739.89</v>
      </c>
      <c r="S139" s="8">
        <v>1215872.1</v>
      </c>
      <c r="T139" s="8">
        <v>0.0</v>
      </c>
      <c r="U139" s="8">
        <v>0.0</v>
      </c>
      <c r="V139" s="8">
        <v>0.0</v>
      </c>
      <c r="W139" s="8">
        <v>0.0</v>
      </c>
      <c r="X139" s="8">
        <v>0.0</v>
      </c>
      <c r="Y139" s="8">
        <v>0.0</v>
      </c>
      <c r="Z139" s="8">
        <v>0.0</v>
      </c>
      <c r="AA139" s="8">
        <v>0.0</v>
      </c>
      <c r="AB139" s="8">
        <v>0.0</v>
      </c>
      <c r="AC139" s="8">
        <v>1834611.99</v>
      </c>
      <c r="AD139" s="3" t="s">
        <v>36</v>
      </c>
      <c r="AE139" s="10"/>
      <c r="AF139" s="3">
        <v>0.0</v>
      </c>
      <c r="AG139" s="8">
        <v>12.73</v>
      </c>
      <c r="AH139" s="8">
        <v>18.58</v>
      </c>
    </row>
    <row r="140">
      <c r="A140" s="3">
        <v>139.0</v>
      </c>
      <c r="B140" s="8">
        <v>1834611.99</v>
      </c>
      <c r="C140" s="8">
        <v>1834611.99</v>
      </c>
      <c r="D140" s="8">
        <v>625303.69</v>
      </c>
      <c r="E140" s="8">
        <v>1209308.3</v>
      </c>
      <c r="F140" s="8">
        <v>0.0</v>
      </c>
      <c r="G140" s="8">
        <v>0.0</v>
      </c>
      <c r="H140" s="8">
        <v>0.0</v>
      </c>
      <c r="I140" s="8">
        <v>1.133707658E8</v>
      </c>
      <c r="J140" s="8">
        <v>1.133707658E8</v>
      </c>
      <c r="K140" s="8">
        <v>0.0</v>
      </c>
      <c r="L140" s="8">
        <v>0.0</v>
      </c>
      <c r="M140" s="8">
        <v>0.0</v>
      </c>
      <c r="N140" s="8">
        <v>0.0</v>
      </c>
      <c r="O140" s="11">
        <v>50155.0</v>
      </c>
      <c r="P140" s="10"/>
      <c r="Q140" s="8">
        <v>0.0</v>
      </c>
      <c r="R140" s="8">
        <v>625303.69</v>
      </c>
      <c r="S140" s="8">
        <v>1209308.3</v>
      </c>
      <c r="T140" s="8">
        <v>0.0</v>
      </c>
      <c r="U140" s="8">
        <v>0.0</v>
      </c>
      <c r="V140" s="8">
        <v>0.0</v>
      </c>
      <c r="W140" s="8">
        <v>0.0</v>
      </c>
      <c r="X140" s="8">
        <v>0.0</v>
      </c>
      <c r="Y140" s="8">
        <v>0.0</v>
      </c>
      <c r="Z140" s="8">
        <v>0.0</v>
      </c>
      <c r="AA140" s="8">
        <v>0.0</v>
      </c>
      <c r="AB140" s="8">
        <v>0.0</v>
      </c>
      <c r="AC140" s="8">
        <v>1834611.99</v>
      </c>
      <c r="AD140" s="3" t="s">
        <v>36</v>
      </c>
      <c r="AE140" s="10"/>
      <c r="AF140" s="3">
        <v>0.0</v>
      </c>
      <c r="AG140" s="8">
        <v>12.73</v>
      </c>
      <c r="AH140" s="8">
        <v>18.58</v>
      </c>
    </row>
    <row r="141">
      <c r="A141" s="3">
        <v>140.0</v>
      </c>
      <c r="B141" s="8">
        <v>1834611.99</v>
      </c>
      <c r="C141" s="8">
        <v>1834611.99</v>
      </c>
      <c r="D141" s="8">
        <v>631937.12</v>
      </c>
      <c r="E141" s="8">
        <v>1202674.87</v>
      </c>
      <c r="F141" s="8">
        <v>0.0</v>
      </c>
      <c r="G141" s="8">
        <v>0.0</v>
      </c>
      <c r="H141" s="8">
        <v>0.0</v>
      </c>
      <c r="I141" s="8">
        <v>1.1273882868E8</v>
      </c>
      <c r="J141" s="8">
        <v>1.1273882868E8</v>
      </c>
      <c r="K141" s="8">
        <v>0.0</v>
      </c>
      <c r="L141" s="8">
        <v>0.0</v>
      </c>
      <c r="M141" s="8">
        <v>0.0</v>
      </c>
      <c r="N141" s="8">
        <v>0.0</v>
      </c>
      <c r="O141" s="11">
        <v>50185.0</v>
      </c>
      <c r="P141" s="10"/>
      <c r="Q141" s="8">
        <v>0.0</v>
      </c>
      <c r="R141" s="8">
        <v>631937.12</v>
      </c>
      <c r="S141" s="8">
        <v>1202674.87</v>
      </c>
      <c r="T141" s="8">
        <v>0.0</v>
      </c>
      <c r="U141" s="8">
        <v>0.0</v>
      </c>
      <c r="V141" s="8">
        <v>0.0</v>
      </c>
      <c r="W141" s="8">
        <v>0.0</v>
      </c>
      <c r="X141" s="8">
        <v>0.0</v>
      </c>
      <c r="Y141" s="8">
        <v>0.0</v>
      </c>
      <c r="Z141" s="8">
        <v>0.0</v>
      </c>
      <c r="AA141" s="8">
        <v>0.0</v>
      </c>
      <c r="AB141" s="8">
        <v>0.0</v>
      </c>
      <c r="AC141" s="8">
        <v>1834611.99</v>
      </c>
      <c r="AD141" s="3" t="s">
        <v>36</v>
      </c>
      <c r="AE141" s="10"/>
      <c r="AF141" s="3">
        <v>0.0</v>
      </c>
      <c r="AG141" s="8">
        <v>12.73</v>
      </c>
      <c r="AH141" s="8">
        <v>18.58</v>
      </c>
    </row>
    <row r="142">
      <c r="A142" s="3">
        <v>141.0</v>
      </c>
      <c r="B142" s="8">
        <v>1834611.99</v>
      </c>
      <c r="C142" s="8">
        <v>1834611.99</v>
      </c>
      <c r="D142" s="8">
        <v>638640.92</v>
      </c>
      <c r="E142" s="8">
        <v>1195971.07</v>
      </c>
      <c r="F142" s="8">
        <v>0.0</v>
      </c>
      <c r="G142" s="8">
        <v>0.0</v>
      </c>
      <c r="H142" s="8">
        <v>0.0</v>
      </c>
      <c r="I142" s="8">
        <v>1.1210018776E8</v>
      </c>
      <c r="J142" s="8">
        <v>1.1210018776E8</v>
      </c>
      <c r="K142" s="8">
        <v>0.0</v>
      </c>
      <c r="L142" s="8">
        <v>0.0</v>
      </c>
      <c r="M142" s="8">
        <v>0.0</v>
      </c>
      <c r="N142" s="8">
        <v>0.0</v>
      </c>
      <c r="O142" s="11">
        <v>50216.0</v>
      </c>
      <c r="P142" s="10"/>
      <c r="Q142" s="8">
        <v>0.0</v>
      </c>
      <c r="R142" s="8">
        <v>638640.92</v>
      </c>
      <c r="S142" s="8">
        <v>1195971.07</v>
      </c>
      <c r="T142" s="8">
        <v>0.0</v>
      </c>
      <c r="U142" s="8">
        <v>0.0</v>
      </c>
      <c r="V142" s="8">
        <v>0.0</v>
      </c>
      <c r="W142" s="8">
        <v>0.0</v>
      </c>
      <c r="X142" s="8">
        <v>0.0</v>
      </c>
      <c r="Y142" s="8">
        <v>0.0</v>
      </c>
      <c r="Z142" s="8">
        <v>0.0</v>
      </c>
      <c r="AA142" s="8">
        <v>0.0</v>
      </c>
      <c r="AB142" s="8">
        <v>0.0</v>
      </c>
      <c r="AC142" s="8">
        <v>1834611.99</v>
      </c>
      <c r="AD142" s="3" t="s">
        <v>36</v>
      </c>
      <c r="AE142" s="10"/>
      <c r="AF142" s="3">
        <v>0.0</v>
      </c>
      <c r="AG142" s="8">
        <v>12.73</v>
      </c>
      <c r="AH142" s="8">
        <v>18.58</v>
      </c>
    </row>
    <row r="143">
      <c r="A143" s="3">
        <v>142.0</v>
      </c>
      <c r="B143" s="8">
        <v>1834611.99</v>
      </c>
      <c r="C143" s="8">
        <v>1834611.99</v>
      </c>
      <c r="D143" s="8">
        <v>645415.84</v>
      </c>
      <c r="E143" s="8">
        <v>1189196.15</v>
      </c>
      <c r="F143" s="8">
        <v>0.0</v>
      </c>
      <c r="G143" s="8">
        <v>0.0</v>
      </c>
      <c r="H143" s="8">
        <v>0.0</v>
      </c>
      <c r="I143" s="8">
        <v>1.1145477192E8</v>
      </c>
      <c r="J143" s="8">
        <v>1.1145477192E8</v>
      </c>
      <c r="K143" s="8">
        <v>0.0</v>
      </c>
      <c r="L143" s="8">
        <v>0.0</v>
      </c>
      <c r="M143" s="8">
        <v>0.0</v>
      </c>
      <c r="N143" s="8">
        <v>0.0</v>
      </c>
      <c r="O143" s="11">
        <v>50246.0</v>
      </c>
      <c r="P143" s="10"/>
      <c r="Q143" s="8">
        <v>0.0</v>
      </c>
      <c r="R143" s="8">
        <v>645415.84</v>
      </c>
      <c r="S143" s="8">
        <v>1189196.15</v>
      </c>
      <c r="T143" s="8">
        <v>0.0</v>
      </c>
      <c r="U143" s="8">
        <v>0.0</v>
      </c>
      <c r="V143" s="8">
        <v>0.0</v>
      </c>
      <c r="W143" s="8">
        <v>0.0</v>
      </c>
      <c r="X143" s="8">
        <v>0.0</v>
      </c>
      <c r="Y143" s="8">
        <v>0.0</v>
      </c>
      <c r="Z143" s="8">
        <v>0.0</v>
      </c>
      <c r="AA143" s="8">
        <v>0.0</v>
      </c>
      <c r="AB143" s="8">
        <v>0.0</v>
      </c>
      <c r="AC143" s="8">
        <v>1834611.99</v>
      </c>
      <c r="AD143" s="3" t="s">
        <v>36</v>
      </c>
      <c r="AE143" s="10"/>
      <c r="AF143" s="3">
        <v>0.0</v>
      </c>
      <c r="AG143" s="8">
        <v>12.73</v>
      </c>
      <c r="AH143" s="8">
        <v>18.58</v>
      </c>
    </row>
    <row r="144">
      <c r="A144" s="3">
        <v>143.0</v>
      </c>
      <c r="B144" s="8">
        <v>1834611.99</v>
      </c>
      <c r="C144" s="8">
        <v>1834611.99</v>
      </c>
      <c r="D144" s="8">
        <v>652262.62</v>
      </c>
      <c r="E144" s="8">
        <v>1182349.37</v>
      </c>
      <c r="F144" s="8">
        <v>0.0</v>
      </c>
      <c r="G144" s="8">
        <v>0.0</v>
      </c>
      <c r="H144" s="8">
        <v>0.0</v>
      </c>
      <c r="I144" s="8">
        <v>1.108025093E8</v>
      </c>
      <c r="J144" s="8">
        <v>1.108025093E8</v>
      </c>
      <c r="K144" s="8">
        <v>0.0</v>
      </c>
      <c r="L144" s="8">
        <v>0.0</v>
      </c>
      <c r="M144" s="8">
        <v>0.0</v>
      </c>
      <c r="N144" s="8">
        <v>0.0</v>
      </c>
      <c r="O144" s="11">
        <v>50277.0</v>
      </c>
      <c r="P144" s="10"/>
      <c r="Q144" s="8">
        <v>0.0</v>
      </c>
      <c r="R144" s="8">
        <v>652262.62</v>
      </c>
      <c r="S144" s="8">
        <v>1182349.37</v>
      </c>
      <c r="T144" s="8">
        <v>0.0</v>
      </c>
      <c r="U144" s="8">
        <v>0.0</v>
      </c>
      <c r="V144" s="8">
        <v>0.0</v>
      </c>
      <c r="W144" s="8">
        <v>0.0</v>
      </c>
      <c r="X144" s="8">
        <v>0.0</v>
      </c>
      <c r="Y144" s="8">
        <v>0.0</v>
      </c>
      <c r="Z144" s="8">
        <v>0.0</v>
      </c>
      <c r="AA144" s="8">
        <v>0.0</v>
      </c>
      <c r="AB144" s="8">
        <v>0.0</v>
      </c>
      <c r="AC144" s="8">
        <v>1834611.99</v>
      </c>
      <c r="AD144" s="3" t="s">
        <v>36</v>
      </c>
      <c r="AE144" s="10"/>
      <c r="AF144" s="3">
        <v>0.0</v>
      </c>
      <c r="AG144" s="8">
        <v>12.73</v>
      </c>
      <c r="AH144" s="8">
        <v>18.58</v>
      </c>
    </row>
    <row r="145">
      <c r="A145" s="3">
        <v>144.0</v>
      </c>
      <c r="B145" s="8">
        <v>1834611.99</v>
      </c>
      <c r="C145" s="8">
        <v>1834611.99</v>
      </c>
      <c r="D145" s="8">
        <v>659182.04</v>
      </c>
      <c r="E145" s="8">
        <v>1175429.95</v>
      </c>
      <c r="F145" s="8">
        <v>0.0</v>
      </c>
      <c r="G145" s="8">
        <v>0.0</v>
      </c>
      <c r="H145" s="8">
        <v>0.0</v>
      </c>
      <c r="I145" s="8">
        <v>1.1014332726E8</v>
      </c>
      <c r="J145" s="8">
        <v>1.1014332726E8</v>
      </c>
      <c r="K145" s="8">
        <v>0.0</v>
      </c>
      <c r="L145" s="8">
        <v>0.0</v>
      </c>
      <c r="M145" s="8">
        <v>0.0</v>
      </c>
      <c r="N145" s="8">
        <v>0.0</v>
      </c>
      <c r="O145" s="11">
        <v>50308.0</v>
      </c>
      <c r="P145" s="10"/>
      <c r="Q145" s="8">
        <v>0.0</v>
      </c>
      <c r="R145" s="8">
        <v>659182.04</v>
      </c>
      <c r="S145" s="8">
        <v>1175429.95</v>
      </c>
      <c r="T145" s="8">
        <v>0.0</v>
      </c>
      <c r="U145" s="8">
        <v>0.0</v>
      </c>
      <c r="V145" s="8">
        <v>0.0</v>
      </c>
      <c r="W145" s="8">
        <v>0.0</v>
      </c>
      <c r="X145" s="8">
        <v>0.0</v>
      </c>
      <c r="Y145" s="8">
        <v>0.0</v>
      </c>
      <c r="Z145" s="8">
        <v>0.0</v>
      </c>
      <c r="AA145" s="8">
        <v>0.0</v>
      </c>
      <c r="AB145" s="8">
        <v>0.0</v>
      </c>
      <c r="AC145" s="8">
        <v>1834611.99</v>
      </c>
      <c r="AD145" s="3" t="s">
        <v>36</v>
      </c>
      <c r="AE145" s="10"/>
      <c r="AF145" s="3">
        <v>0.0</v>
      </c>
      <c r="AG145" s="8">
        <v>12.73</v>
      </c>
      <c r="AH145" s="8">
        <v>18.58</v>
      </c>
    </row>
    <row r="146">
      <c r="A146" s="3">
        <v>145.0</v>
      </c>
      <c r="B146" s="8">
        <v>1834611.99</v>
      </c>
      <c r="C146" s="8">
        <v>1834611.99</v>
      </c>
      <c r="D146" s="8">
        <v>666174.86</v>
      </c>
      <c r="E146" s="8">
        <v>1168437.13</v>
      </c>
      <c r="F146" s="8">
        <v>0.0</v>
      </c>
      <c r="G146" s="8">
        <v>0.0</v>
      </c>
      <c r="H146" s="8">
        <v>0.0</v>
      </c>
      <c r="I146" s="8">
        <v>1.094771524E8</v>
      </c>
      <c r="J146" s="8">
        <v>1.094771524E8</v>
      </c>
      <c r="K146" s="8">
        <v>0.0</v>
      </c>
      <c r="L146" s="8">
        <v>0.0</v>
      </c>
      <c r="M146" s="8">
        <v>0.0</v>
      </c>
      <c r="N146" s="8">
        <v>0.0</v>
      </c>
      <c r="O146" s="9">
        <v>50338.0</v>
      </c>
      <c r="P146" s="10"/>
      <c r="Q146" s="8">
        <v>0.0</v>
      </c>
      <c r="R146" s="8">
        <v>666174.86</v>
      </c>
      <c r="S146" s="8">
        <v>1168437.13</v>
      </c>
      <c r="T146" s="8">
        <v>0.0</v>
      </c>
      <c r="U146" s="8">
        <v>0.0</v>
      </c>
      <c r="V146" s="8">
        <v>0.0</v>
      </c>
      <c r="W146" s="8">
        <v>0.0</v>
      </c>
      <c r="X146" s="8">
        <v>0.0</v>
      </c>
      <c r="Y146" s="8">
        <v>0.0</v>
      </c>
      <c r="Z146" s="8">
        <v>0.0</v>
      </c>
      <c r="AA146" s="8">
        <v>0.0</v>
      </c>
      <c r="AB146" s="8">
        <v>0.0</v>
      </c>
      <c r="AC146" s="8">
        <v>1834611.99</v>
      </c>
      <c r="AD146" s="3" t="s">
        <v>36</v>
      </c>
      <c r="AE146" s="10"/>
      <c r="AF146" s="3">
        <v>0.0</v>
      </c>
      <c r="AG146" s="8">
        <v>12.73</v>
      </c>
      <c r="AH146" s="8">
        <v>18.58</v>
      </c>
    </row>
    <row r="147">
      <c r="A147" s="3">
        <v>146.0</v>
      </c>
      <c r="B147" s="8">
        <v>1834611.99</v>
      </c>
      <c r="C147" s="8">
        <v>1834611.99</v>
      </c>
      <c r="D147" s="8">
        <v>673241.87</v>
      </c>
      <c r="E147" s="8">
        <v>1161370.12</v>
      </c>
      <c r="F147" s="8">
        <v>0.0</v>
      </c>
      <c r="G147" s="8">
        <v>0.0</v>
      </c>
      <c r="H147" s="8">
        <v>0.0</v>
      </c>
      <c r="I147" s="8">
        <v>1.0880391053E8</v>
      </c>
      <c r="J147" s="8">
        <v>1.0880391053E8</v>
      </c>
      <c r="K147" s="8">
        <v>0.0</v>
      </c>
      <c r="L147" s="8">
        <v>0.0</v>
      </c>
      <c r="M147" s="8">
        <v>0.0</v>
      </c>
      <c r="N147" s="8">
        <v>0.0</v>
      </c>
      <c r="O147" s="9">
        <v>50369.0</v>
      </c>
      <c r="P147" s="10"/>
      <c r="Q147" s="8">
        <v>0.0</v>
      </c>
      <c r="R147" s="8">
        <v>673241.87</v>
      </c>
      <c r="S147" s="8">
        <v>1161370.12</v>
      </c>
      <c r="T147" s="8">
        <v>0.0</v>
      </c>
      <c r="U147" s="8">
        <v>0.0</v>
      </c>
      <c r="V147" s="8">
        <v>0.0</v>
      </c>
      <c r="W147" s="8">
        <v>0.0</v>
      </c>
      <c r="X147" s="8">
        <v>0.0</v>
      </c>
      <c r="Y147" s="8">
        <v>0.0</v>
      </c>
      <c r="Z147" s="8">
        <v>0.0</v>
      </c>
      <c r="AA147" s="8">
        <v>0.0</v>
      </c>
      <c r="AB147" s="8">
        <v>0.0</v>
      </c>
      <c r="AC147" s="8">
        <v>1834611.99</v>
      </c>
      <c r="AD147" s="3" t="s">
        <v>36</v>
      </c>
      <c r="AE147" s="10"/>
      <c r="AF147" s="3">
        <v>0.0</v>
      </c>
      <c r="AG147" s="8">
        <v>12.73</v>
      </c>
      <c r="AH147" s="8">
        <v>18.58</v>
      </c>
    </row>
    <row r="148">
      <c r="A148" s="3">
        <v>147.0</v>
      </c>
      <c r="B148" s="8">
        <v>1834611.99</v>
      </c>
      <c r="C148" s="8">
        <v>1834611.99</v>
      </c>
      <c r="D148" s="8">
        <v>680383.84</v>
      </c>
      <c r="E148" s="8">
        <v>1154228.15</v>
      </c>
      <c r="F148" s="8">
        <v>0.0</v>
      </c>
      <c r="G148" s="8">
        <v>0.0</v>
      </c>
      <c r="H148" s="8">
        <v>0.0</v>
      </c>
      <c r="I148" s="8">
        <v>1.0812352669E8</v>
      </c>
      <c r="J148" s="8">
        <v>1.0812352669E8</v>
      </c>
      <c r="K148" s="8">
        <v>0.0</v>
      </c>
      <c r="L148" s="8">
        <v>0.0</v>
      </c>
      <c r="M148" s="8">
        <v>0.0</v>
      </c>
      <c r="N148" s="8">
        <v>0.0</v>
      </c>
      <c r="O148" s="9">
        <v>50399.0</v>
      </c>
      <c r="P148" s="10"/>
      <c r="Q148" s="8">
        <v>0.0</v>
      </c>
      <c r="R148" s="8">
        <v>680383.84</v>
      </c>
      <c r="S148" s="8">
        <v>1154228.15</v>
      </c>
      <c r="T148" s="8">
        <v>0.0</v>
      </c>
      <c r="U148" s="8">
        <v>0.0</v>
      </c>
      <c r="V148" s="8">
        <v>0.0</v>
      </c>
      <c r="W148" s="8">
        <v>0.0</v>
      </c>
      <c r="X148" s="8">
        <v>0.0</v>
      </c>
      <c r="Y148" s="8">
        <v>0.0</v>
      </c>
      <c r="Z148" s="8">
        <v>0.0</v>
      </c>
      <c r="AA148" s="8">
        <v>0.0</v>
      </c>
      <c r="AB148" s="8">
        <v>0.0</v>
      </c>
      <c r="AC148" s="8">
        <v>1834611.99</v>
      </c>
      <c r="AD148" s="3" t="s">
        <v>36</v>
      </c>
      <c r="AE148" s="10"/>
      <c r="AF148" s="3">
        <v>0.0</v>
      </c>
      <c r="AG148" s="8">
        <v>12.73</v>
      </c>
      <c r="AH148" s="8">
        <v>18.58</v>
      </c>
    </row>
    <row r="149">
      <c r="A149" s="3">
        <v>148.0</v>
      </c>
      <c r="B149" s="8">
        <v>1834611.99</v>
      </c>
      <c r="C149" s="8">
        <v>1834611.99</v>
      </c>
      <c r="D149" s="8">
        <v>687601.58</v>
      </c>
      <c r="E149" s="8">
        <v>1147010.41</v>
      </c>
      <c r="F149" s="8">
        <v>0.0</v>
      </c>
      <c r="G149" s="8">
        <v>0.0</v>
      </c>
      <c r="H149" s="8">
        <v>0.0</v>
      </c>
      <c r="I149" s="8">
        <v>1.0743592511E8</v>
      </c>
      <c r="J149" s="8">
        <v>1.0743592511E8</v>
      </c>
      <c r="K149" s="8">
        <v>0.0</v>
      </c>
      <c r="L149" s="8">
        <v>0.0</v>
      </c>
      <c r="M149" s="8">
        <v>0.0</v>
      </c>
      <c r="N149" s="8">
        <v>0.0</v>
      </c>
      <c r="O149" s="11">
        <v>50430.0</v>
      </c>
      <c r="P149" s="10"/>
      <c r="Q149" s="8">
        <v>0.0</v>
      </c>
      <c r="R149" s="8">
        <v>687601.58</v>
      </c>
      <c r="S149" s="8">
        <v>1147010.41</v>
      </c>
      <c r="T149" s="8">
        <v>0.0</v>
      </c>
      <c r="U149" s="8">
        <v>0.0</v>
      </c>
      <c r="V149" s="8">
        <v>0.0</v>
      </c>
      <c r="W149" s="8">
        <v>0.0</v>
      </c>
      <c r="X149" s="8">
        <v>0.0</v>
      </c>
      <c r="Y149" s="8">
        <v>0.0</v>
      </c>
      <c r="Z149" s="8">
        <v>0.0</v>
      </c>
      <c r="AA149" s="8">
        <v>0.0</v>
      </c>
      <c r="AB149" s="8">
        <v>0.0</v>
      </c>
      <c r="AC149" s="8">
        <v>1834611.99</v>
      </c>
      <c r="AD149" s="3" t="s">
        <v>36</v>
      </c>
      <c r="AE149" s="10"/>
      <c r="AF149" s="3">
        <v>0.0</v>
      </c>
      <c r="AG149" s="8">
        <v>12.73</v>
      </c>
      <c r="AH149" s="8">
        <v>18.58</v>
      </c>
    </row>
    <row r="150">
      <c r="A150" s="3">
        <v>149.0</v>
      </c>
      <c r="B150" s="8">
        <v>1834611.99</v>
      </c>
      <c r="C150" s="8">
        <v>1834611.99</v>
      </c>
      <c r="D150" s="8">
        <v>694895.89</v>
      </c>
      <c r="E150" s="8">
        <v>1139716.1</v>
      </c>
      <c r="F150" s="8">
        <v>0.0</v>
      </c>
      <c r="G150" s="8">
        <v>0.0</v>
      </c>
      <c r="H150" s="8">
        <v>0.0</v>
      </c>
      <c r="I150" s="8">
        <v>1.0674102922E8</v>
      </c>
      <c r="J150" s="8">
        <v>1.0674102922E8</v>
      </c>
      <c r="K150" s="8">
        <v>0.0</v>
      </c>
      <c r="L150" s="8">
        <v>0.0</v>
      </c>
      <c r="M150" s="8">
        <v>0.0</v>
      </c>
      <c r="N150" s="8">
        <v>0.0</v>
      </c>
      <c r="O150" s="11">
        <v>50461.0</v>
      </c>
      <c r="P150" s="10"/>
      <c r="Q150" s="8">
        <v>0.0</v>
      </c>
      <c r="R150" s="8">
        <v>694895.89</v>
      </c>
      <c r="S150" s="8">
        <v>1139716.1</v>
      </c>
      <c r="T150" s="8">
        <v>0.0</v>
      </c>
      <c r="U150" s="8">
        <v>0.0</v>
      </c>
      <c r="V150" s="8">
        <v>0.0</v>
      </c>
      <c r="W150" s="8">
        <v>0.0</v>
      </c>
      <c r="X150" s="8">
        <v>0.0</v>
      </c>
      <c r="Y150" s="8">
        <v>0.0</v>
      </c>
      <c r="Z150" s="8">
        <v>0.0</v>
      </c>
      <c r="AA150" s="8">
        <v>0.0</v>
      </c>
      <c r="AB150" s="8">
        <v>0.0</v>
      </c>
      <c r="AC150" s="8">
        <v>1834611.99</v>
      </c>
      <c r="AD150" s="3" t="s">
        <v>36</v>
      </c>
      <c r="AE150" s="10"/>
      <c r="AF150" s="3">
        <v>0.0</v>
      </c>
      <c r="AG150" s="8">
        <v>12.73</v>
      </c>
      <c r="AH150" s="8">
        <v>18.58</v>
      </c>
    </row>
    <row r="151">
      <c r="A151" s="3">
        <v>150.0</v>
      </c>
      <c r="B151" s="8">
        <v>1834611.99</v>
      </c>
      <c r="C151" s="8">
        <v>1834611.99</v>
      </c>
      <c r="D151" s="8">
        <v>702267.58</v>
      </c>
      <c r="E151" s="8">
        <v>1132344.41</v>
      </c>
      <c r="F151" s="8">
        <v>0.0</v>
      </c>
      <c r="G151" s="8">
        <v>0.0</v>
      </c>
      <c r="H151" s="8">
        <v>0.0</v>
      </c>
      <c r="I151" s="8">
        <v>1.0603876164E8</v>
      </c>
      <c r="J151" s="8">
        <v>1.0603876164E8</v>
      </c>
      <c r="K151" s="8">
        <v>0.0</v>
      </c>
      <c r="L151" s="8">
        <v>0.0</v>
      </c>
      <c r="M151" s="8">
        <v>0.0</v>
      </c>
      <c r="N151" s="8">
        <v>0.0</v>
      </c>
      <c r="O151" s="11">
        <v>50489.0</v>
      </c>
      <c r="P151" s="10"/>
      <c r="Q151" s="8">
        <v>0.0</v>
      </c>
      <c r="R151" s="8">
        <v>702267.58</v>
      </c>
      <c r="S151" s="8">
        <v>1132344.41</v>
      </c>
      <c r="T151" s="8">
        <v>0.0</v>
      </c>
      <c r="U151" s="8">
        <v>0.0</v>
      </c>
      <c r="V151" s="8">
        <v>0.0</v>
      </c>
      <c r="W151" s="8">
        <v>0.0</v>
      </c>
      <c r="X151" s="8">
        <v>0.0</v>
      </c>
      <c r="Y151" s="8">
        <v>0.0</v>
      </c>
      <c r="Z151" s="8">
        <v>0.0</v>
      </c>
      <c r="AA151" s="8">
        <v>0.0</v>
      </c>
      <c r="AB151" s="8">
        <v>0.0</v>
      </c>
      <c r="AC151" s="8">
        <v>1834611.99</v>
      </c>
      <c r="AD151" s="3" t="s">
        <v>36</v>
      </c>
      <c r="AE151" s="10"/>
      <c r="AF151" s="3">
        <v>0.0</v>
      </c>
      <c r="AG151" s="8">
        <v>12.73</v>
      </c>
      <c r="AH151" s="8">
        <v>18.58</v>
      </c>
    </row>
    <row r="152">
      <c r="A152" s="3">
        <v>151.0</v>
      </c>
      <c r="B152" s="8">
        <v>1834611.99</v>
      </c>
      <c r="C152" s="8">
        <v>1834611.99</v>
      </c>
      <c r="D152" s="8">
        <v>709717.47</v>
      </c>
      <c r="E152" s="8">
        <v>1124894.52</v>
      </c>
      <c r="F152" s="8">
        <v>0.0</v>
      </c>
      <c r="G152" s="8">
        <v>0.0</v>
      </c>
      <c r="H152" s="8">
        <v>0.0</v>
      </c>
      <c r="I152" s="8">
        <v>1.0532904417E8</v>
      </c>
      <c r="J152" s="8">
        <v>1.0532904417E8</v>
      </c>
      <c r="K152" s="8">
        <v>0.0</v>
      </c>
      <c r="L152" s="8">
        <v>0.0</v>
      </c>
      <c r="M152" s="8">
        <v>0.0</v>
      </c>
      <c r="N152" s="8">
        <v>0.0</v>
      </c>
      <c r="O152" s="11">
        <v>50520.0</v>
      </c>
      <c r="P152" s="10"/>
      <c r="Q152" s="8">
        <v>0.0</v>
      </c>
      <c r="R152" s="8">
        <v>709717.47</v>
      </c>
      <c r="S152" s="8">
        <v>1124894.52</v>
      </c>
      <c r="T152" s="8">
        <v>0.0</v>
      </c>
      <c r="U152" s="8">
        <v>0.0</v>
      </c>
      <c r="V152" s="8">
        <v>0.0</v>
      </c>
      <c r="W152" s="8">
        <v>0.0</v>
      </c>
      <c r="X152" s="8">
        <v>0.0</v>
      </c>
      <c r="Y152" s="8">
        <v>0.0</v>
      </c>
      <c r="Z152" s="8">
        <v>0.0</v>
      </c>
      <c r="AA152" s="8">
        <v>0.0</v>
      </c>
      <c r="AB152" s="8">
        <v>0.0</v>
      </c>
      <c r="AC152" s="8">
        <v>1834611.99</v>
      </c>
      <c r="AD152" s="3" t="s">
        <v>36</v>
      </c>
      <c r="AE152" s="10"/>
      <c r="AF152" s="3">
        <v>0.0</v>
      </c>
      <c r="AG152" s="8">
        <v>12.73</v>
      </c>
      <c r="AH152" s="8">
        <v>18.58</v>
      </c>
    </row>
    <row r="153">
      <c r="A153" s="3">
        <v>152.0</v>
      </c>
      <c r="B153" s="8">
        <v>1834611.99</v>
      </c>
      <c r="C153" s="8">
        <v>1834611.99</v>
      </c>
      <c r="D153" s="8">
        <v>717246.38</v>
      </c>
      <c r="E153" s="8">
        <v>1117365.61</v>
      </c>
      <c r="F153" s="8">
        <v>0.0</v>
      </c>
      <c r="G153" s="8">
        <v>0.0</v>
      </c>
      <c r="H153" s="8">
        <v>0.0</v>
      </c>
      <c r="I153" s="8">
        <v>1.0461179779E8</v>
      </c>
      <c r="J153" s="8">
        <v>1.0461179779E8</v>
      </c>
      <c r="K153" s="8">
        <v>0.0</v>
      </c>
      <c r="L153" s="8">
        <v>0.0</v>
      </c>
      <c r="M153" s="8">
        <v>0.0</v>
      </c>
      <c r="N153" s="8">
        <v>0.0</v>
      </c>
      <c r="O153" s="11">
        <v>50550.0</v>
      </c>
      <c r="P153" s="10"/>
      <c r="Q153" s="8">
        <v>0.0</v>
      </c>
      <c r="R153" s="8">
        <v>717246.38</v>
      </c>
      <c r="S153" s="8">
        <v>1117365.61</v>
      </c>
      <c r="T153" s="8">
        <v>0.0</v>
      </c>
      <c r="U153" s="8">
        <v>0.0</v>
      </c>
      <c r="V153" s="8">
        <v>0.0</v>
      </c>
      <c r="W153" s="8">
        <v>0.0</v>
      </c>
      <c r="X153" s="8">
        <v>0.0</v>
      </c>
      <c r="Y153" s="8">
        <v>0.0</v>
      </c>
      <c r="Z153" s="8">
        <v>0.0</v>
      </c>
      <c r="AA153" s="8">
        <v>0.0</v>
      </c>
      <c r="AB153" s="8">
        <v>0.0</v>
      </c>
      <c r="AC153" s="8">
        <v>1834611.99</v>
      </c>
      <c r="AD153" s="3" t="s">
        <v>36</v>
      </c>
      <c r="AE153" s="10"/>
      <c r="AF153" s="3">
        <v>0.0</v>
      </c>
      <c r="AG153" s="8">
        <v>12.73</v>
      </c>
      <c r="AH153" s="8">
        <v>18.58</v>
      </c>
    </row>
    <row r="154">
      <c r="A154" s="3">
        <v>153.0</v>
      </c>
      <c r="B154" s="8">
        <v>1834611.99</v>
      </c>
      <c r="C154" s="8">
        <v>1834611.99</v>
      </c>
      <c r="D154" s="8">
        <v>724855.17</v>
      </c>
      <c r="E154" s="8">
        <v>1109756.82</v>
      </c>
      <c r="F154" s="8">
        <v>0.0</v>
      </c>
      <c r="G154" s="8">
        <v>0.0</v>
      </c>
      <c r="H154" s="8">
        <v>0.0</v>
      </c>
      <c r="I154" s="8">
        <v>1.0388694262E8</v>
      </c>
      <c r="J154" s="8">
        <v>1.0388694262E8</v>
      </c>
      <c r="K154" s="8">
        <v>0.0</v>
      </c>
      <c r="L154" s="8">
        <v>0.0</v>
      </c>
      <c r="M154" s="8">
        <v>0.0</v>
      </c>
      <c r="N154" s="8">
        <v>0.0</v>
      </c>
      <c r="O154" s="11">
        <v>50581.0</v>
      </c>
      <c r="P154" s="10"/>
      <c r="Q154" s="8">
        <v>0.0</v>
      </c>
      <c r="R154" s="8">
        <v>724855.17</v>
      </c>
      <c r="S154" s="8">
        <v>1109756.82</v>
      </c>
      <c r="T154" s="8">
        <v>0.0</v>
      </c>
      <c r="U154" s="8">
        <v>0.0</v>
      </c>
      <c r="V154" s="8">
        <v>0.0</v>
      </c>
      <c r="W154" s="8">
        <v>0.0</v>
      </c>
      <c r="X154" s="8">
        <v>0.0</v>
      </c>
      <c r="Y154" s="8">
        <v>0.0</v>
      </c>
      <c r="Z154" s="8">
        <v>0.0</v>
      </c>
      <c r="AA154" s="8">
        <v>0.0</v>
      </c>
      <c r="AB154" s="8">
        <v>0.0</v>
      </c>
      <c r="AC154" s="8">
        <v>1834611.99</v>
      </c>
      <c r="AD154" s="3" t="s">
        <v>36</v>
      </c>
      <c r="AE154" s="10"/>
      <c r="AF154" s="3">
        <v>0.0</v>
      </c>
      <c r="AG154" s="8">
        <v>12.73</v>
      </c>
      <c r="AH154" s="8">
        <v>18.58</v>
      </c>
    </row>
    <row r="155">
      <c r="A155" s="3">
        <v>154.0</v>
      </c>
      <c r="B155" s="8">
        <v>1834611.99</v>
      </c>
      <c r="C155" s="8">
        <v>1834611.99</v>
      </c>
      <c r="D155" s="8">
        <v>732544.68</v>
      </c>
      <c r="E155" s="8">
        <v>1102067.31</v>
      </c>
      <c r="F155" s="8">
        <v>0.0</v>
      </c>
      <c r="G155" s="8">
        <v>0.0</v>
      </c>
      <c r="H155" s="8">
        <v>0.0</v>
      </c>
      <c r="I155" s="8">
        <v>1.0315439794E8</v>
      </c>
      <c r="J155" s="8">
        <v>1.0315439794E8</v>
      </c>
      <c r="K155" s="8">
        <v>0.0</v>
      </c>
      <c r="L155" s="8">
        <v>0.0</v>
      </c>
      <c r="M155" s="8">
        <v>0.0</v>
      </c>
      <c r="N155" s="8">
        <v>0.0</v>
      </c>
      <c r="O155" s="11">
        <v>50611.0</v>
      </c>
      <c r="P155" s="10"/>
      <c r="Q155" s="8">
        <v>0.0</v>
      </c>
      <c r="R155" s="8">
        <v>732544.68</v>
      </c>
      <c r="S155" s="8">
        <v>1102067.31</v>
      </c>
      <c r="T155" s="8">
        <v>0.0</v>
      </c>
      <c r="U155" s="8">
        <v>0.0</v>
      </c>
      <c r="V155" s="8">
        <v>0.0</v>
      </c>
      <c r="W155" s="8">
        <v>0.0</v>
      </c>
      <c r="X155" s="8">
        <v>0.0</v>
      </c>
      <c r="Y155" s="8">
        <v>0.0</v>
      </c>
      <c r="Z155" s="8">
        <v>0.0</v>
      </c>
      <c r="AA155" s="8">
        <v>0.0</v>
      </c>
      <c r="AB155" s="8">
        <v>0.0</v>
      </c>
      <c r="AC155" s="8">
        <v>1834611.99</v>
      </c>
      <c r="AD155" s="3" t="s">
        <v>36</v>
      </c>
      <c r="AE155" s="10"/>
      <c r="AF155" s="3">
        <v>0.0</v>
      </c>
      <c r="AG155" s="8">
        <v>12.73</v>
      </c>
      <c r="AH155" s="8">
        <v>18.58</v>
      </c>
    </row>
    <row r="156">
      <c r="A156" s="3">
        <v>155.0</v>
      </c>
      <c r="B156" s="8">
        <v>1834611.99</v>
      </c>
      <c r="C156" s="8">
        <v>1834611.99</v>
      </c>
      <c r="D156" s="8">
        <v>740315.76</v>
      </c>
      <c r="E156" s="8">
        <v>1094296.23</v>
      </c>
      <c r="F156" s="8">
        <v>0.0</v>
      </c>
      <c r="G156" s="8">
        <v>0.0</v>
      </c>
      <c r="H156" s="8">
        <v>0.0</v>
      </c>
      <c r="I156" s="8">
        <v>1.0241408218E8</v>
      </c>
      <c r="J156" s="8">
        <v>1.0241408218E8</v>
      </c>
      <c r="K156" s="8">
        <v>0.0</v>
      </c>
      <c r="L156" s="8">
        <v>0.0</v>
      </c>
      <c r="M156" s="8">
        <v>0.0</v>
      </c>
      <c r="N156" s="8">
        <v>0.0</v>
      </c>
      <c r="O156" s="11">
        <v>50642.0</v>
      </c>
      <c r="P156" s="10"/>
      <c r="Q156" s="8">
        <v>0.0</v>
      </c>
      <c r="R156" s="8">
        <v>740315.76</v>
      </c>
      <c r="S156" s="8">
        <v>1094296.23</v>
      </c>
      <c r="T156" s="8">
        <v>0.0</v>
      </c>
      <c r="U156" s="8">
        <v>0.0</v>
      </c>
      <c r="V156" s="8">
        <v>0.0</v>
      </c>
      <c r="W156" s="8">
        <v>0.0</v>
      </c>
      <c r="X156" s="8">
        <v>0.0</v>
      </c>
      <c r="Y156" s="8">
        <v>0.0</v>
      </c>
      <c r="Z156" s="8">
        <v>0.0</v>
      </c>
      <c r="AA156" s="8">
        <v>0.0</v>
      </c>
      <c r="AB156" s="8">
        <v>0.0</v>
      </c>
      <c r="AC156" s="8">
        <v>1834611.99</v>
      </c>
      <c r="AD156" s="3" t="s">
        <v>36</v>
      </c>
      <c r="AE156" s="10"/>
      <c r="AF156" s="3">
        <v>0.0</v>
      </c>
      <c r="AG156" s="8">
        <v>12.73</v>
      </c>
      <c r="AH156" s="8">
        <v>18.58</v>
      </c>
    </row>
    <row r="157">
      <c r="A157" s="3">
        <v>156.0</v>
      </c>
      <c r="B157" s="8">
        <v>1834611.99</v>
      </c>
      <c r="C157" s="8">
        <v>1834611.99</v>
      </c>
      <c r="D157" s="8">
        <v>748169.27</v>
      </c>
      <c r="E157" s="8">
        <v>1086442.72</v>
      </c>
      <c r="F157" s="8">
        <v>0.0</v>
      </c>
      <c r="G157" s="8">
        <v>0.0</v>
      </c>
      <c r="H157" s="8">
        <v>0.0</v>
      </c>
      <c r="I157" s="8">
        <v>1.0166591291E8</v>
      </c>
      <c r="J157" s="8">
        <v>1.0166591291E8</v>
      </c>
      <c r="K157" s="8">
        <v>0.0</v>
      </c>
      <c r="L157" s="8">
        <v>0.0</v>
      </c>
      <c r="M157" s="8">
        <v>0.0</v>
      </c>
      <c r="N157" s="8">
        <v>0.0</v>
      </c>
      <c r="O157" s="11">
        <v>50673.0</v>
      </c>
      <c r="P157" s="10"/>
      <c r="Q157" s="8">
        <v>0.0</v>
      </c>
      <c r="R157" s="8">
        <v>748169.27</v>
      </c>
      <c r="S157" s="8">
        <v>1086442.72</v>
      </c>
      <c r="T157" s="8">
        <v>0.0</v>
      </c>
      <c r="U157" s="8">
        <v>0.0</v>
      </c>
      <c r="V157" s="8">
        <v>0.0</v>
      </c>
      <c r="W157" s="8">
        <v>0.0</v>
      </c>
      <c r="X157" s="8">
        <v>0.0</v>
      </c>
      <c r="Y157" s="8">
        <v>0.0</v>
      </c>
      <c r="Z157" s="8">
        <v>0.0</v>
      </c>
      <c r="AA157" s="8">
        <v>0.0</v>
      </c>
      <c r="AB157" s="8">
        <v>0.0</v>
      </c>
      <c r="AC157" s="8">
        <v>1834611.99</v>
      </c>
      <c r="AD157" s="3" t="s">
        <v>36</v>
      </c>
      <c r="AE157" s="10"/>
      <c r="AF157" s="3">
        <v>0.0</v>
      </c>
      <c r="AG157" s="8">
        <v>12.73</v>
      </c>
      <c r="AH157" s="8">
        <v>18.58</v>
      </c>
    </row>
    <row r="158">
      <c r="A158" s="3">
        <v>157.0</v>
      </c>
      <c r="B158" s="8">
        <v>1834611.99</v>
      </c>
      <c r="C158" s="8">
        <v>1834611.99</v>
      </c>
      <c r="D158" s="8">
        <v>756106.1</v>
      </c>
      <c r="E158" s="8">
        <v>1078505.89</v>
      </c>
      <c r="F158" s="8">
        <v>0.0</v>
      </c>
      <c r="G158" s="8">
        <v>0.0</v>
      </c>
      <c r="H158" s="8">
        <v>0.0</v>
      </c>
      <c r="I158" s="8">
        <v>1.0090980681E8</v>
      </c>
      <c r="J158" s="8">
        <v>1.0090980681E8</v>
      </c>
      <c r="K158" s="8">
        <v>0.0</v>
      </c>
      <c r="L158" s="8">
        <v>0.0</v>
      </c>
      <c r="M158" s="8">
        <v>0.0</v>
      </c>
      <c r="N158" s="8">
        <v>0.0</v>
      </c>
      <c r="O158" s="9">
        <v>50703.0</v>
      </c>
      <c r="P158" s="10"/>
      <c r="Q158" s="8">
        <v>0.0</v>
      </c>
      <c r="R158" s="8">
        <v>756106.1</v>
      </c>
      <c r="S158" s="8">
        <v>1078505.89</v>
      </c>
      <c r="T158" s="8">
        <v>0.0</v>
      </c>
      <c r="U158" s="8">
        <v>0.0</v>
      </c>
      <c r="V158" s="8">
        <v>0.0</v>
      </c>
      <c r="W158" s="8">
        <v>0.0</v>
      </c>
      <c r="X158" s="8">
        <v>0.0</v>
      </c>
      <c r="Y158" s="8">
        <v>0.0</v>
      </c>
      <c r="Z158" s="8">
        <v>0.0</v>
      </c>
      <c r="AA158" s="8">
        <v>0.0</v>
      </c>
      <c r="AB158" s="8">
        <v>0.0</v>
      </c>
      <c r="AC158" s="8">
        <v>1834611.99</v>
      </c>
      <c r="AD158" s="3" t="s">
        <v>36</v>
      </c>
      <c r="AE158" s="10"/>
      <c r="AF158" s="3">
        <v>0.0</v>
      </c>
      <c r="AG158" s="8">
        <v>12.73</v>
      </c>
      <c r="AH158" s="8">
        <v>18.58</v>
      </c>
    </row>
    <row r="159">
      <c r="A159" s="3">
        <v>158.0</v>
      </c>
      <c r="B159" s="8">
        <v>1834611.99</v>
      </c>
      <c r="C159" s="8">
        <v>1834611.99</v>
      </c>
      <c r="D159" s="8">
        <v>764127.13</v>
      </c>
      <c r="E159" s="8">
        <v>1070484.86</v>
      </c>
      <c r="F159" s="8">
        <v>0.0</v>
      </c>
      <c r="G159" s="8">
        <v>0.0</v>
      </c>
      <c r="H159" s="8">
        <v>0.0</v>
      </c>
      <c r="I159" s="8">
        <v>1.0014567968E8</v>
      </c>
      <c r="J159" s="8">
        <v>1.0014567968E8</v>
      </c>
      <c r="K159" s="8">
        <v>0.0</v>
      </c>
      <c r="L159" s="8">
        <v>0.0</v>
      </c>
      <c r="M159" s="8">
        <v>0.0</v>
      </c>
      <c r="N159" s="8">
        <v>0.0</v>
      </c>
      <c r="O159" s="9">
        <v>50734.0</v>
      </c>
      <c r="P159" s="10"/>
      <c r="Q159" s="8">
        <v>0.0</v>
      </c>
      <c r="R159" s="8">
        <v>764127.13</v>
      </c>
      <c r="S159" s="8">
        <v>1070484.86</v>
      </c>
      <c r="T159" s="8">
        <v>0.0</v>
      </c>
      <c r="U159" s="8">
        <v>0.0</v>
      </c>
      <c r="V159" s="8">
        <v>0.0</v>
      </c>
      <c r="W159" s="8">
        <v>0.0</v>
      </c>
      <c r="X159" s="8">
        <v>0.0</v>
      </c>
      <c r="Y159" s="8">
        <v>0.0</v>
      </c>
      <c r="Z159" s="8">
        <v>0.0</v>
      </c>
      <c r="AA159" s="8">
        <v>0.0</v>
      </c>
      <c r="AB159" s="8">
        <v>0.0</v>
      </c>
      <c r="AC159" s="8">
        <v>1834611.99</v>
      </c>
      <c r="AD159" s="3" t="s">
        <v>36</v>
      </c>
      <c r="AE159" s="10"/>
      <c r="AF159" s="3">
        <v>0.0</v>
      </c>
      <c r="AG159" s="8">
        <v>12.73</v>
      </c>
      <c r="AH159" s="8">
        <v>18.58</v>
      </c>
    </row>
    <row r="160">
      <c r="A160" s="3">
        <v>159.0</v>
      </c>
      <c r="B160" s="8">
        <v>1834611.99</v>
      </c>
      <c r="C160" s="8">
        <v>1834611.99</v>
      </c>
      <c r="D160" s="8">
        <v>772233.24</v>
      </c>
      <c r="E160" s="8">
        <v>1062378.75</v>
      </c>
      <c r="F160" s="8">
        <v>0.0</v>
      </c>
      <c r="G160" s="8">
        <v>0.0</v>
      </c>
      <c r="H160" s="8">
        <v>0.0</v>
      </c>
      <c r="I160" s="8">
        <v>9.937344644E7</v>
      </c>
      <c r="J160" s="8">
        <v>9.937344644E7</v>
      </c>
      <c r="K160" s="8">
        <v>0.0</v>
      </c>
      <c r="L160" s="8">
        <v>0.0</v>
      </c>
      <c r="M160" s="8">
        <v>0.0</v>
      </c>
      <c r="N160" s="8">
        <v>0.0</v>
      </c>
      <c r="O160" s="9">
        <v>50764.0</v>
      </c>
      <c r="P160" s="10"/>
      <c r="Q160" s="8">
        <v>0.0</v>
      </c>
      <c r="R160" s="8">
        <v>772233.24</v>
      </c>
      <c r="S160" s="8">
        <v>1062378.75</v>
      </c>
      <c r="T160" s="8">
        <v>0.0</v>
      </c>
      <c r="U160" s="8">
        <v>0.0</v>
      </c>
      <c r="V160" s="8">
        <v>0.0</v>
      </c>
      <c r="W160" s="8">
        <v>0.0</v>
      </c>
      <c r="X160" s="8">
        <v>0.0</v>
      </c>
      <c r="Y160" s="8">
        <v>0.0</v>
      </c>
      <c r="Z160" s="8">
        <v>0.0</v>
      </c>
      <c r="AA160" s="8">
        <v>0.0</v>
      </c>
      <c r="AB160" s="8">
        <v>0.0</v>
      </c>
      <c r="AC160" s="8">
        <v>1834611.99</v>
      </c>
      <c r="AD160" s="3" t="s">
        <v>36</v>
      </c>
      <c r="AE160" s="10"/>
      <c r="AF160" s="3">
        <v>0.0</v>
      </c>
      <c r="AG160" s="8">
        <v>12.73</v>
      </c>
      <c r="AH160" s="8">
        <v>18.58</v>
      </c>
    </row>
    <row r="161">
      <c r="A161" s="3">
        <v>160.0</v>
      </c>
      <c r="B161" s="8">
        <v>1834611.99</v>
      </c>
      <c r="C161" s="8">
        <v>1834611.99</v>
      </c>
      <c r="D161" s="8">
        <v>780425.35</v>
      </c>
      <c r="E161" s="8">
        <v>1054186.64</v>
      </c>
      <c r="F161" s="8">
        <v>0.0</v>
      </c>
      <c r="G161" s="8">
        <v>0.0</v>
      </c>
      <c r="H161" s="8">
        <v>0.0</v>
      </c>
      <c r="I161" s="8">
        <v>9.859302109E7</v>
      </c>
      <c r="J161" s="8">
        <v>9.859302109E7</v>
      </c>
      <c r="K161" s="8">
        <v>0.0</v>
      </c>
      <c r="L161" s="8">
        <v>0.0</v>
      </c>
      <c r="M161" s="8">
        <v>0.0</v>
      </c>
      <c r="N161" s="8">
        <v>0.0</v>
      </c>
      <c r="O161" s="11">
        <v>50795.0</v>
      </c>
      <c r="P161" s="10"/>
      <c r="Q161" s="8">
        <v>0.0</v>
      </c>
      <c r="R161" s="8">
        <v>780425.35</v>
      </c>
      <c r="S161" s="8">
        <v>1054186.64</v>
      </c>
      <c r="T161" s="8">
        <v>0.0</v>
      </c>
      <c r="U161" s="8">
        <v>0.0</v>
      </c>
      <c r="V161" s="8">
        <v>0.0</v>
      </c>
      <c r="W161" s="8">
        <v>0.0</v>
      </c>
      <c r="X161" s="8">
        <v>0.0</v>
      </c>
      <c r="Y161" s="8">
        <v>0.0</v>
      </c>
      <c r="Z161" s="8">
        <v>0.0</v>
      </c>
      <c r="AA161" s="8">
        <v>0.0</v>
      </c>
      <c r="AB161" s="8">
        <v>0.0</v>
      </c>
      <c r="AC161" s="8">
        <v>1834611.99</v>
      </c>
      <c r="AD161" s="3" t="s">
        <v>36</v>
      </c>
      <c r="AE161" s="10"/>
      <c r="AF161" s="3">
        <v>0.0</v>
      </c>
      <c r="AG161" s="8">
        <v>12.73</v>
      </c>
      <c r="AH161" s="8">
        <v>18.58</v>
      </c>
    </row>
    <row r="162">
      <c r="A162" s="3">
        <v>161.0</v>
      </c>
      <c r="B162" s="8">
        <v>1834611.99</v>
      </c>
      <c r="C162" s="8">
        <v>1834611.99</v>
      </c>
      <c r="D162" s="8">
        <v>788704.36</v>
      </c>
      <c r="E162" s="8">
        <v>1045907.63</v>
      </c>
      <c r="F162" s="8">
        <v>0.0</v>
      </c>
      <c r="G162" s="8">
        <v>0.0</v>
      </c>
      <c r="H162" s="8">
        <v>0.0</v>
      </c>
      <c r="I162" s="8">
        <v>9.780431673E7</v>
      </c>
      <c r="J162" s="8">
        <v>9.780431673E7</v>
      </c>
      <c r="K162" s="8">
        <v>0.0</v>
      </c>
      <c r="L162" s="8">
        <v>0.0</v>
      </c>
      <c r="M162" s="8">
        <v>0.0</v>
      </c>
      <c r="N162" s="8">
        <v>0.0</v>
      </c>
      <c r="O162" s="11">
        <v>50826.0</v>
      </c>
      <c r="P162" s="10"/>
      <c r="Q162" s="8">
        <v>0.0</v>
      </c>
      <c r="R162" s="8">
        <v>788704.36</v>
      </c>
      <c r="S162" s="8">
        <v>1045907.63</v>
      </c>
      <c r="T162" s="8">
        <v>0.0</v>
      </c>
      <c r="U162" s="8">
        <v>0.0</v>
      </c>
      <c r="V162" s="8">
        <v>0.0</v>
      </c>
      <c r="W162" s="8">
        <v>0.0</v>
      </c>
      <c r="X162" s="8">
        <v>0.0</v>
      </c>
      <c r="Y162" s="8">
        <v>0.0</v>
      </c>
      <c r="Z162" s="8">
        <v>0.0</v>
      </c>
      <c r="AA162" s="8">
        <v>0.0</v>
      </c>
      <c r="AB162" s="8">
        <v>0.0</v>
      </c>
      <c r="AC162" s="8">
        <v>1834611.99</v>
      </c>
      <c r="AD162" s="3" t="s">
        <v>36</v>
      </c>
      <c r="AE162" s="10"/>
      <c r="AF162" s="3">
        <v>0.0</v>
      </c>
      <c r="AG162" s="8">
        <v>12.73</v>
      </c>
      <c r="AH162" s="8">
        <v>18.58</v>
      </c>
    </row>
    <row r="163">
      <c r="A163" s="3">
        <v>162.0</v>
      </c>
      <c r="B163" s="8">
        <v>1834611.99</v>
      </c>
      <c r="C163" s="8">
        <v>1834611.99</v>
      </c>
      <c r="D163" s="8">
        <v>797071.2</v>
      </c>
      <c r="E163" s="8">
        <v>1037540.79</v>
      </c>
      <c r="F163" s="8">
        <v>0.0</v>
      </c>
      <c r="G163" s="8">
        <v>0.0</v>
      </c>
      <c r="H163" s="8">
        <v>0.0</v>
      </c>
      <c r="I163" s="8">
        <v>9.700724553E7</v>
      </c>
      <c r="J163" s="8">
        <v>9.700724553E7</v>
      </c>
      <c r="K163" s="8">
        <v>0.0</v>
      </c>
      <c r="L163" s="8">
        <v>0.0</v>
      </c>
      <c r="M163" s="8">
        <v>0.0</v>
      </c>
      <c r="N163" s="8">
        <v>0.0</v>
      </c>
      <c r="O163" s="11">
        <v>50854.0</v>
      </c>
      <c r="P163" s="10"/>
      <c r="Q163" s="8">
        <v>0.0</v>
      </c>
      <c r="R163" s="8">
        <v>797071.2</v>
      </c>
      <c r="S163" s="8">
        <v>1037540.79</v>
      </c>
      <c r="T163" s="8">
        <v>0.0</v>
      </c>
      <c r="U163" s="8">
        <v>0.0</v>
      </c>
      <c r="V163" s="8">
        <v>0.0</v>
      </c>
      <c r="W163" s="8">
        <v>0.0</v>
      </c>
      <c r="X163" s="8">
        <v>0.0</v>
      </c>
      <c r="Y163" s="8">
        <v>0.0</v>
      </c>
      <c r="Z163" s="8">
        <v>0.0</v>
      </c>
      <c r="AA163" s="8">
        <v>0.0</v>
      </c>
      <c r="AB163" s="8">
        <v>0.0</v>
      </c>
      <c r="AC163" s="8">
        <v>1834611.99</v>
      </c>
      <c r="AD163" s="3" t="s">
        <v>36</v>
      </c>
      <c r="AE163" s="10"/>
      <c r="AF163" s="3">
        <v>0.0</v>
      </c>
      <c r="AG163" s="8">
        <v>12.73</v>
      </c>
      <c r="AH163" s="8">
        <v>18.58</v>
      </c>
    </row>
    <row r="164">
      <c r="A164" s="3">
        <v>163.0</v>
      </c>
      <c r="B164" s="8">
        <v>1834611.99</v>
      </c>
      <c r="C164" s="8">
        <v>1834611.99</v>
      </c>
      <c r="D164" s="8">
        <v>805526.8</v>
      </c>
      <c r="E164" s="8">
        <v>1029085.19</v>
      </c>
      <c r="F164" s="8">
        <v>0.0</v>
      </c>
      <c r="G164" s="8">
        <v>0.0</v>
      </c>
      <c r="H164" s="8">
        <v>0.0</v>
      </c>
      <c r="I164" s="8">
        <v>9.620171873E7</v>
      </c>
      <c r="J164" s="8">
        <v>9.620171873E7</v>
      </c>
      <c r="K164" s="8">
        <v>0.0</v>
      </c>
      <c r="L164" s="8">
        <v>0.0</v>
      </c>
      <c r="M164" s="8">
        <v>0.0</v>
      </c>
      <c r="N164" s="8">
        <v>0.0</v>
      </c>
      <c r="O164" s="11">
        <v>50885.0</v>
      </c>
      <c r="P164" s="10"/>
      <c r="Q164" s="8">
        <v>0.0</v>
      </c>
      <c r="R164" s="8">
        <v>805526.8</v>
      </c>
      <c r="S164" s="8">
        <v>1029085.19</v>
      </c>
      <c r="T164" s="8">
        <v>0.0</v>
      </c>
      <c r="U164" s="8">
        <v>0.0</v>
      </c>
      <c r="V164" s="8">
        <v>0.0</v>
      </c>
      <c r="W164" s="8">
        <v>0.0</v>
      </c>
      <c r="X164" s="8">
        <v>0.0</v>
      </c>
      <c r="Y164" s="8">
        <v>0.0</v>
      </c>
      <c r="Z164" s="8">
        <v>0.0</v>
      </c>
      <c r="AA164" s="8">
        <v>0.0</v>
      </c>
      <c r="AB164" s="8">
        <v>0.0</v>
      </c>
      <c r="AC164" s="8">
        <v>1834611.99</v>
      </c>
      <c r="AD164" s="3" t="s">
        <v>36</v>
      </c>
      <c r="AE164" s="10"/>
      <c r="AF164" s="3">
        <v>0.0</v>
      </c>
      <c r="AG164" s="8">
        <v>12.73</v>
      </c>
      <c r="AH164" s="8">
        <v>18.58</v>
      </c>
    </row>
    <row r="165">
      <c r="A165" s="3">
        <v>164.0</v>
      </c>
      <c r="B165" s="8">
        <v>1834611.99</v>
      </c>
      <c r="C165" s="8">
        <v>1834611.99</v>
      </c>
      <c r="D165" s="8">
        <v>814072.1</v>
      </c>
      <c r="E165" s="8">
        <v>1020539.89</v>
      </c>
      <c r="F165" s="8">
        <v>0.0</v>
      </c>
      <c r="G165" s="8">
        <v>0.0</v>
      </c>
      <c r="H165" s="8">
        <v>0.0</v>
      </c>
      <c r="I165" s="8">
        <v>9.538764663E7</v>
      </c>
      <c r="J165" s="8">
        <v>9.538764663E7</v>
      </c>
      <c r="K165" s="8">
        <v>0.0</v>
      </c>
      <c r="L165" s="8">
        <v>0.0</v>
      </c>
      <c r="M165" s="8">
        <v>0.0</v>
      </c>
      <c r="N165" s="8">
        <v>0.0</v>
      </c>
      <c r="O165" s="11">
        <v>50915.0</v>
      </c>
      <c r="P165" s="10"/>
      <c r="Q165" s="8">
        <v>0.0</v>
      </c>
      <c r="R165" s="8">
        <v>814072.1</v>
      </c>
      <c r="S165" s="8">
        <v>1020539.89</v>
      </c>
      <c r="T165" s="8">
        <v>0.0</v>
      </c>
      <c r="U165" s="8">
        <v>0.0</v>
      </c>
      <c r="V165" s="8">
        <v>0.0</v>
      </c>
      <c r="W165" s="8">
        <v>0.0</v>
      </c>
      <c r="X165" s="8">
        <v>0.0</v>
      </c>
      <c r="Y165" s="8">
        <v>0.0</v>
      </c>
      <c r="Z165" s="8">
        <v>0.0</v>
      </c>
      <c r="AA165" s="8">
        <v>0.0</v>
      </c>
      <c r="AB165" s="8">
        <v>0.0</v>
      </c>
      <c r="AC165" s="8">
        <v>1834611.99</v>
      </c>
      <c r="AD165" s="3" t="s">
        <v>36</v>
      </c>
      <c r="AE165" s="10"/>
      <c r="AF165" s="3">
        <v>0.0</v>
      </c>
      <c r="AG165" s="8">
        <v>12.73</v>
      </c>
      <c r="AH165" s="8">
        <v>18.58</v>
      </c>
    </row>
    <row r="166">
      <c r="A166" s="3">
        <v>165.0</v>
      </c>
      <c r="B166" s="8">
        <v>1834611.99</v>
      </c>
      <c r="C166" s="8">
        <v>1834611.99</v>
      </c>
      <c r="D166" s="8">
        <v>822708.04</v>
      </c>
      <c r="E166" s="8">
        <v>1011903.95</v>
      </c>
      <c r="F166" s="8">
        <v>0.0</v>
      </c>
      <c r="G166" s="8">
        <v>0.0</v>
      </c>
      <c r="H166" s="8">
        <v>0.0</v>
      </c>
      <c r="I166" s="8">
        <v>9.456493859E7</v>
      </c>
      <c r="J166" s="8">
        <v>9.456493859E7</v>
      </c>
      <c r="K166" s="8">
        <v>0.0</v>
      </c>
      <c r="L166" s="8">
        <v>0.0</v>
      </c>
      <c r="M166" s="8">
        <v>0.0</v>
      </c>
      <c r="N166" s="8">
        <v>0.0</v>
      </c>
      <c r="O166" s="11">
        <v>50946.0</v>
      </c>
      <c r="P166" s="10"/>
      <c r="Q166" s="8">
        <v>0.0</v>
      </c>
      <c r="R166" s="8">
        <v>822708.04</v>
      </c>
      <c r="S166" s="8">
        <v>1011903.95</v>
      </c>
      <c r="T166" s="8">
        <v>0.0</v>
      </c>
      <c r="U166" s="8">
        <v>0.0</v>
      </c>
      <c r="V166" s="8">
        <v>0.0</v>
      </c>
      <c r="W166" s="8">
        <v>0.0</v>
      </c>
      <c r="X166" s="8">
        <v>0.0</v>
      </c>
      <c r="Y166" s="8">
        <v>0.0</v>
      </c>
      <c r="Z166" s="8">
        <v>0.0</v>
      </c>
      <c r="AA166" s="8">
        <v>0.0</v>
      </c>
      <c r="AB166" s="8">
        <v>0.0</v>
      </c>
      <c r="AC166" s="8">
        <v>1834611.99</v>
      </c>
      <c r="AD166" s="3" t="s">
        <v>36</v>
      </c>
      <c r="AE166" s="10"/>
      <c r="AF166" s="3">
        <v>0.0</v>
      </c>
      <c r="AG166" s="8">
        <v>12.73</v>
      </c>
      <c r="AH166" s="8">
        <v>18.58</v>
      </c>
    </row>
    <row r="167">
      <c r="A167" s="3">
        <v>166.0</v>
      </c>
      <c r="B167" s="8">
        <v>1834611.99</v>
      </c>
      <c r="C167" s="8">
        <v>1834611.99</v>
      </c>
      <c r="D167" s="8">
        <v>831435.6</v>
      </c>
      <c r="E167" s="8">
        <v>1003176.39</v>
      </c>
      <c r="F167" s="8">
        <v>0.0</v>
      </c>
      <c r="G167" s="8">
        <v>0.0</v>
      </c>
      <c r="H167" s="8">
        <v>0.0</v>
      </c>
      <c r="I167" s="8">
        <v>9.373350299E7</v>
      </c>
      <c r="J167" s="8">
        <v>9.373350299E7</v>
      </c>
      <c r="K167" s="8">
        <v>0.0</v>
      </c>
      <c r="L167" s="8">
        <v>0.0</v>
      </c>
      <c r="M167" s="8">
        <v>0.0</v>
      </c>
      <c r="N167" s="8">
        <v>0.0</v>
      </c>
      <c r="O167" s="11">
        <v>50976.0</v>
      </c>
      <c r="P167" s="10"/>
      <c r="Q167" s="8">
        <v>0.0</v>
      </c>
      <c r="R167" s="8">
        <v>831435.6</v>
      </c>
      <c r="S167" s="8">
        <v>1003176.39</v>
      </c>
      <c r="T167" s="8">
        <v>0.0</v>
      </c>
      <c r="U167" s="8">
        <v>0.0</v>
      </c>
      <c r="V167" s="8">
        <v>0.0</v>
      </c>
      <c r="W167" s="8">
        <v>0.0</v>
      </c>
      <c r="X167" s="8">
        <v>0.0</v>
      </c>
      <c r="Y167" s="8">
        <v>0.0</v>
      </c>
      <c r="Z167" s="8">
        <v>0.0</v>
      </c>
      <c r="AA167" s="8">
        <v>0.0</v>
      </c>
      <c r="AB167" s="8">
        <v>0.0</v>
      </c>
      <c r="AC167" s="8">
        <v>1834611.99</v>
      </c>
      <c r="AD167" s="3" t="s">
        <v>36</v>
      </c>
      <c r="AE167" s="10"/>
      <c r="AF167" s="3">
        <v>0.0</v>
      </c>
      <c r="AG167" s="8">
        <v>12.73</v>
      </c>
      <c r="AH167" s="8">
        <v>18.58</v>
      </c>
    </row>
    <row r="168">
      <c r="A168" s="3">
        <v>167.0</v>
      </c>
      <c r="B168" s="8">
        <v>1834611.99</v>
      </c>
      <c r="C168" s="8">
        <v>1834611.99</v>
      </c>
      <c r="D168" s="8">
        <v>840255.75</v>
      </c>
      <c r="E168" s="8">
        <v>994356.24</v>
      </c>
      <c r="F168" s="8">
        <v>0.0</v>
      </c>
      <c r="G168" s="8">
        <v>0.0</v>
      </c>
      <c r="H168" s="8">
        <v>0.0</v>
      </c>
      <c r="I168" s="8">
        <v>9.289324724E7</v>
      </c>
      <c r="J168" s="8">
        <v>9.289324724E7</v>
      </c>
      <c r="K168" s="8">
        <v>0.0</v>
      </c>
      <c r="L168" s="8">
        <v>0.0</v>
      </c>
      <c r="M168" s="8">
        <v>0.0</v>
      </c>
      <c r="N168" s="8">
        <v>0.0</v>
      </c>
      <c r="O168" s="11">
        <v>51007.0</v>
      </c>
      <c r="P168" s="10"/>
      <c r="Q168" s="8">
        <v>0.0</v>
      </c>
      <c r="R168" s="8">
        <v>840255.75</v>
      </c>
      <c r="S168" s="8">
        <v>994356.24</v>
      </c>
      <c r="T168" s="8">
        <v>0.0</v>
      </c>
      <c r="U168" s="8">
        <v>0.0</v>
      </c>
      <c r="V168" s="8">
        <v>0.0</v>
      </c>
      <c r="W168" s="8">
        <v>0.0</v>
      </c>
      <c r="X168" s="8">
        <v>0.0</v>
      </c>
      <c r="Y168" s="8">
        <v>0.0</v>
      </c>
      <c r="Z168" s="8">
        <v>0.0</v>
      </c>
      <c r="AA168" s="8">
        <v>0.0</v>
      </c>
      <c r="AB168" s="8">
        <v>0.0</v>
      </c>
      <c r="AC168" s="8">
        <v>1834611.99</v>
      </c>
      <c r="AD168" s="3" t="s">
        <v>36</v>
      </c>
      <c r="AE168" s="10"/>
      <c r="AF168" s="3">
        <v>0.0</v>
      </c>
      <c r="AG168" s="8">
        <v>12.73</v>
      </c>
      <c r="AH168" s="8">
        <v>18.58</v>
      </c>
    </row>
    <row r="169">
      <c r="A169" s="3">
        <v>168.0</v>
      </c>
      <c r="B169" s="8">
        <v>1834611.99</v>
      </c>
      <c r="C169" s="8">
        <v>1834611.99</v>
      </c>
      <c r="D169" s="8">
        <v>849169.46</v>
      </c>
      <c r="E169" s="8">
        <v>985442.53</v>
      </c>
      <c r="F169" s="8">
        <v>0.0</v>
      </c>
      <c r="G169" s="8">
        <v>0.0</v>
      </c>
      <c r="H169" s="8">
        <v>0.0</v>
      </c>
      <c r="I169" s="8">
        <v>9.204407778E7</v>
      </c>
      <c r="J169" s="8">
        <v>9.204407778E7</v>
      </c>
      <c r="K169" s="8">
        <v>0.0</v>
      </c>
      <c r="L169" s="8">
        <v>0.0</v>
      </c>
      <c r="M169" s="8">
        <v>0.0</v>
      </c>
      <c r="N169" s="8">
        <v>0.0</v>
      </c>
      <c r="O169" s="11">
        <v>51038.0</v>
      </c>
      <c r="P169" s="10"/>
      <c r="Q169" s="8">
        <v>0.0</v>
      </c>
      <c r="R169" s="8">
        <v>849169.46</v>
      </c>
      <c r="S169" s="8">
        <v>985442.53</v>
      </c>
      <c r="T169" s="8">
        <v>0.0</v>
      </c>
      <c r="U169" s="8">
        <v>0.0</v>
      </c>
      <c r="V169" s="8">
        <v>0.0</v>
      </c>
      <c r="W169" s="8">
        <v>0.0</v>
      </c>
      <c r="X169" s="8">
        <v>0.0</v>
      </c>
      <c r="Y169" s="8">
        <v>0.0</v>
      </c>
      <c r="Z169" s="8">
        <v>0.0</v>
      </c>
      <c r="AA169" s="8">
        <v>0.0</v>
      </c>
      <c r="AB169" s="8">
        <v>0.0</v>
      </c>
      <c r="AC169" s="8">
        <v>1834611.99</v>
      </c>
      <c r="AD169" s="3" t="s">
        <v>36</v>
      </c>
      <c r="AE169" s="10"/>
      <c r="AF169" s="3">
        <v>0.0</v>
      </c>
      <c r="AG169" s="8">
        <v>12.73</v>
      </c>
      <c r="AH169" s="8">
        <v>18.58</v>
      </c>
    </row>
    <row r="170">
      <c r="A170" s="3">
        <v>169.0</v>
      </c>
      <c r="B170" s="8">
        <v>1834611.99</v>
      </c>
      <c r="C170" s="8">
        <v>1834611.99</v>
      </c>
      <c r="D170" s="8">
        <v>858177.74</v>
      </c>
      <c r="E170" s="8">
        <v>976434.25</v>
      </c>
      <c r="F170" s="8">
        <v>0.0</v>
      </c>
      <c r="G170" s="8">
        <v>0.0</v>
      </c>
      <c r="H170" s="8">
        <v>0.0</v>
      </c>
      <c r="I170" s="8">
        <v>9.118590004E7</v>
      </c>
      <c r="J170" s="8">
        <v>9.118590004E7</v>
      </c>
      <c r="K170" s="8">
        <v>0.0</v>
      </c>
      <c r="L170" s="8">
        <v>0.0</v>
      </c>
      <c r="M170" s="8">
        <v>0.0</v>
      </c>
      <c r="N170" s="8">
        <v>0.0</v>
      </c>
      <c r="O170" s="9">
        <v>51068.0</v>
      </c>
      <c r="P170" s="10"/>
      <c r="Q170" s="8">
        <v>0.0</v>
      </c>
      <c r="R170" s="8">
        <v>858177.74</v>
      </c>
      <c r="S170" s="8">
        <v>976434.25</v>
      </c>
      <c r="T170" s="8">
        <v>0.0</v>
      </c>
      <c r="U170" s="8">
        <v>0.0</v>
      </c>
      <c r="V170" s="8">
        <v>0.0</v>
      </c>
      <c r="W170" s="8">
        <v>0.0</v>
      </c>
      <c r="X170" s="8">
        <v>0.0</v>
      </c>
      <c r="Y170" s="8">
        <v>0.0</v>
      </c>
      <c r="Z170" s="8">
        <v>0.0</v>
      </c>
      <c r="AA170" s="8">
        <v>0.0</v>
      </c>
      <c r="AB170" s="8">
        <v>0.0</v>
      </c>
      <c r="AC170" s="8">
        <v>1834611.99</v>
      </c>
      <c r="AD170" s="3" t="s">
        <v>36</v>
      </c>
      <c r="AE170" s="10"/>
      <c r="AF170" s="3">
        <v>0.0</v>
      </c>
      <c r="AG170" s="8">
        <v>12.73</v>
      </c>
      <c r="AH170" s="8">
        <v>18.58</v>
      </c>
    </row>
    <row r="171">
      <c r="A171" s="3">
        <v>170.0</v>
      </c>
      <c r="B171" s="8">
        <v>1834611.99</v>
      </c>
      <c r="C171" s="8">
        <v>1834611.99</v>
      </c>
      <c r="D171" s="8">
        <v>867281.57</v>
      </c>
      <c r="E171" s="8">
        <v>967330.42</v>
      </c>
      <c r="F171" s="8">
        <v>0.0</v>
      </c>
      <c r="G171" s="8">
        <v>0.0</v>
      </c>
      <c r="H171" s="8">
        <v>0.0</v>
      </c>
      <c r="I171" s="8">
        <v>9.031861847E7</v>
      </c>
      <c r="J171" s="8">
        <v>9.031861847E7</v>
      </c>
      <c r="K171" s="8">
        <v>0.0</v>
      </c>
      <c r="L171" s="8">
        <v>0.0</v>
      </c>
      <c r="M171" s="8">
        <v>0.0</v>
      </c>
      <c r="N171" s="8">
        <v>0.0</v>
      </c>
      <c r="O171" s="9">
        <v>51099.0</v>
      </c>
      <c r="P171" s="10"/>
      <c r="Q171" s="8">
        <v>0.0</v>
      </c>
      <c r="R171" s="8">
        <v>867281.57</v>
      </c>
      <c r="S171" s="8">
        <v>967330.42</v>
      </c>
      <c r="T171" s="8">
        <v>0.0</v>
      </c>
      <c r="U171" s="8">
        <v>0.0</v>
      </c>
      <c r="V171" s="8">
        <v>0.0</v>
      </c>
      <c r="W171" s="8">
        <v>0.0</v>
      </c>
      <c r="X171" s="8">
        <v>0.0</v>
      </c>
      <c r="Y171" s="8">
        <v>0.0</v>
      </c>
      <c r="Z171" s="8">
        <v>0.0</v>
      </c>
      <c r="AA171" s="8">
        <v>0.0</v>
      </c>
      <c r="AB171" s="8">
        <v>0.0</v>
      </c>
      <c r="AC171" s="8">
        <v>1834611.99</v>
      </c>
      <c r="AD171" s="3" t="s">
        <v>36</v>
      </c>
      <c r="AE171" s="10"/>
      <c r="AF171" s="3">
        <v>0.0</v>
      </c>
      <c r="AG171" s="8">
        <v>12.73</v>
      </c>
      <c r="AH171" s="8">
        <v>18.58</v>
      </c>
    </row>
    <row r="172">
      <c r="A172" s="3">
        <v>171.0</v>
      </c>
      <c r="B172" s="8">
        <v>1834611.99</v>
      </c>
      <c r="C172" s="8">
        <v>1834611.99</v>
      </c>
      <c r="D172" s="8">
        <v>876481.98</v>
      </c>
      <c r="E172" s="8">
        <v>958130.01</v>
      </c>
      <c r="F172" s="8">
        <v>0.0</v>
      </c>
      <c r="G172" s="8">
        <v>0.0</v>
      </c>
      <c r="H172" s="8">
        <v>0.0</v>
      </c>
      <c r="I172" s="8">
        <v>8.944213649E7</v>
      </c>
      <c r="J172" s="8">
        <v>8.944213649E7</v>
      </c>
      <c r="K172" s="8">
        <v>0.0</v>
      </c>
      <c r="L172" s="8">
        <v>0.0</v>
      </c>
      <c r="M172" s="8">
        <v>0.0</v>
      </c>
      <c r="N172" s="8">
        <v>0.0</v>
      </c>
      <c r="O172" s="9">
        <v>51129.0</v>
      </c>
      <c r="P172" s="10"/>
      <c r="Q172" s="8">
        <v>0.0</v>
      </c>
      <c r="R172" s="8">
        <v>876481.98</v>
      </c>
      <c r="S172" s="8">
        <v>958130.01</v>
      </c>
      <c r="T172" s="8">
        <v>0.0</v>
      </c>
      <c r="U172" s="8">
        <v>0.0</v>
      </c>
      <c r="V172" s="8">
        <v>0.0</v>
      </c>
      <c r="W172" s="8">
        <v>0.0</v>
      </c>
      <c r="X172" s="8">
        <v>0.0</v>
      </c>
      <c r="Y172" s="8">
        <v>0.0</v>
      </c>
      <c r="Z172" s="8">
        <v>0.0</v>
      </c>
      <c r="AA172" s="8">
        <v>0.0</v>
      </c>
      <c r="AB172" s="8">
        <v>0.0</v>
      </c>
      <c r="AC172" s="8">
        <v>1834611.99</v>
      </c>
      <c r="AD172" s="3" t="s">
        <v>36</v>
      </c>
      <c r="AE172" s="10"/>
      <c r="AF172" s="3">
        <v>0.0</v>
      </c>
      <c r="AG172" s="8">
        <v>12.73</v>
      </c>
      <c r="AH172" s="8">
        <v>18.58</v>
      </c>
    </row>
    <row r="173">
      <c r="A173" s="3">
        <v>172.0</v>
      </c>
      <c r="B173" s="8">
        <v>1834611.99</v>
      </c>
      <c r="C173" s="8">
        <v>1834611.99</v>
      </c>
      <c r="D173" s="8">
        <v>885780.0</v>
      </c>
      <c r="E173" s="8">
        <v>948831.99</v>
      </c>
      <c r="F173" s="8">
        <v>0.0</v>
      </c>
      <c r="G173" s="8">
        <v>0.0</v>
      </c>
      <c r="H173" s="8">
        <v>0.0</v>
      </c>
      <c r="I173" s="8">
        <v>8.855635649E7</v>
      </c>
      <c r="J173" s="8">
        <v>8.855635649E7</v>
      </c>
      <c r="K173" s="8">
        <v>0.0</v>
      </c>
      <c r="L173" s="8">
        <v>0.0</v>
      </c>
      <c r="M173" s="8">
        <v>0.0</v>
      </c>
      <c r="N173" s="8">
        <v>0.0</v>
      </c>
      <c r="O173" s="11">
        <v>51160.0</v>
      </c>
      <c r="P173" s="10"/>
      <c r="Q173" s="8">
        <v>0.0</v>
      </c>
      <c r="R173" s="8">
        <v>885780.0</v>
      </c>
      <c r="S173" s="8">
        <v>948831.99</v>
      </c>
      <c r="T173" s="8">
        <v>0.0</v>
      </c>
      <c r="U173" s="8">
        <v>0.0</v>
      </c>
      <c r="V173" s="8">
        <v>0.0</v>
      </c>
      <c r="W173" s="8">
        <v>0.0</v>
      </c>
      <c r="X173" s="8">
        <v>0.0</v>
      </c>
      <c r="Y173" s="8">
        <v>0.0</v>
      </c>
      <c r="Z173" s="8">
        <v>0.0</v>
      </c>
      <c r="AA173" s="8">
        <v>0.0</v>
      </c>
      <c r="AB173" s="8">
        <v>0.0</v>
      </c>
      <c r="AC173" s="8">
        <v>1834611.99</v>
      </c>
      <c r="AD173" s="3" t="s">
        <v>36</v>
      </c>
      <c r="AE173" s="10"/>
      <c r="AF173" s="3">
        <v>0.0</v>
      </c>
      <c r="AG173" s="8">
        <v>12.73</v>
      </c>
      <c r="AH173" s="8">
        <v>18.58</v>
      </c>
    </row>
    <row r="174">
      <c r="A174" s="3">
        <v>173.0</v>
      </c>
      <c r="B174" s="8">
        <v>1834611.99</v>
      </c>
      <c r="C174" s="8">
        <v>1834611.99</v>
      </c>
      <c r="D174" s="8">
        <v>895176.65</v>
      </c>
      <c r="E174" s="8">
        <v>939435.34</v>
      </c>
      <c r="F174" s="8">
        <v>0.0</v>
      </c>
      <c r="G174" s="8">
        <v>0.0</v>
      </c>
      <c r="H174" s="8">
        <v>0.0</v>
      </c>
      <c r="I174" s="8">
        <v>8.766117984E7</v>
      </c>
      <c r="J174" s="8">
        <v>8.766117984E7</v>
      </c>
      <c r="K174" s="8">
        <v>0.0</v>
      </c>
      <c r="L174" s="8">
        <v>0.0</v>
      </c>
      <c r="M174" s="8">
        <v>0.0</v>
      </c>
      <c r="N174" s="8">
        <v>0.0</v>
      </c>
      <c r="O174" s="11">
        <v>51191.0</v>
      </c>
      <c r="P174" s="10"/>
      <c r="Q174" s="8">
        <v>0.0</v>
      </c>
      <c r="R174" s="8">
        <v>895176.65</v>
      </c>
      <c r="S174" s="8">
        <v>939435.34</v>
      </c>
      <c r="T174" s="8">
        <v>0.0</v>
      </c>
      <c r="U174" s="8">
        <v>0.0</v>
      </c>
      <c r="V174" s="8">
        <v>0.0</v>
      </c>
      <c r="W174" s="8">
        <v>0.0</v>
      </c>
      <c r="X174" s="8">
        <v>0.0</v>
      </c>
      <c r="Y174" s="8">
        <v>0.0</v>
      </c>
      <c r="Z174" s="8">
        <v>0.0</v>
      </c>
      <c r="AA174" s="8">
        <v>0.0</v>
      </c>
      <c r="AB174" s="8">
        <v>0.0</v>
      </c>
      <c r="AC174" s="8">
        <v>1834611.99</v>
      </c>
      <c r="AD174" s="3" t="s">
        <v>36</v>
      </c>
      <c r="AE174" s="10"/>
      <c r="AF174" s="3">
        <v>0.0</v>
      </c>
      <c r="AG174" s="8">
        <v>12.73</v>
      </c>
      <c r="AH174" s="8">
        <v>18.58</v>
      </c>
    </row>
    <row r="175">
      <c r="A175" s="3">
        <v>174.0</v>
      </c>
      <c r="B175" s="8">
        <v>1834611.99</v>
      </c>
      <c r="C175" s="8">
        <v>1834611.99</v>
      </c>
      <c r="D175" s="8">
        <v>904672.98</v>
      </c>
      <c r="E175" s="8">
        <v>929939.01</v>
      </c>
      <c r="F175" s="8">
        <v>0.0</v>
      </c>
      <c r="G175" s="8">
        <v>0.0</v>
      </c>
      <c r="H175" s="8">
        <v>0.0</v>
      </c>
      <c r="I175" s="8">
        <v>8.675650686E7</v>
      </c>
      <c r="J175" s="8">
        <v>8.675650686E7</v>
      </c>
      <c r="K175" s="8">
        <v>0.0</v>
      </c>
      <c r="L175" s="8">
        <v>0.0</v>
      </c>
      <c r="M175" s="8">
        <v>0.0</v>
      </c>
      <c r="N175" s="8">
        <v>0.0</v>
      </c>
      <c r="O175" s="11">
        <v>51220.0</v>
      </c>
      <c r="P175" s="10"/>
      <c r="Q175" s="8">
        <v>0.0</v>
      </c>
      <c r="R175" s="8">
        <v>904672.98</v>
      </c>
      <c r="S175" s="8">
        <v>929939.01</v>
      </c>
      <c r="T175" s="8">
        <v>0.0</v>
      </c>
      <c r="U175" s="8">
        <v>0.0</v>
      </c>
      <c r="V175" s="8">
        <v>0.0</v>
      </c>
      <c r="W175" s="8">
        <v>0.0</v>
      </c>
      <c r="X175" s="8">
        <v>0.0</v>
      </c>
      <c r="Y175" s="8">
        <v>0.0</v>
      </c>
      <c r="Z175" s="8">
        <v>0.0</v>
      </c>
      <c r="AA175" s="8">
        <v>0.0</v>
      </c>
      <c r="AB175" s="8">
        <v>0.0</v>
      </c>
      <c r="AC175" s="8">
        <v>1834611.99</v>
      </c>
      <c r="AD175" s="3" t="s">
        <v>36</v>
      </c>
      <c r="AE175" s="10"/>
      <c r="AF175" s="3">
        <v>0.0</v>
      </c>
      <c r="AG175" s="8">
        <v>12.73</v>
      </c>
      <c r="AH175" s="8">
        <v>18.58</v>
      </c>
    </row>
    <row r="176">
      <c r="A176" s="3">
        <v>175.0</v>
      </c>
      <c r="B176" s="8">
        <v>1834611.99</v>
      </c>
      <c r="C176" s="8">
        <v>1834611.99</v>
      </c>
      <c r="D176" s="8">
        <v>914270.05</v>
      </c>
      <c r="E176" s="8">
        <v>920341.94</v>
      </c>
      <c r="F176" s="8">
        <v>0.0</v>
      </c>
      <c r="G176" s="8">
        <v>0.0</v>
      </c>
      <c r="H176" s="8">
        <v>0.0</v>
      </c>
      <c r="I176" s="8">
        <v>8.584223681E7</v>
      </c>
      <c r="J176" s="8">
        <v>8.584223681E7</v>
      </c>
      <c r="K176" s="8">
        <v>0.0</v>
      </c>
      <c r="L176" s="8">
        <v>0.0</v>
      </c>
      <c r="M176" s="8">
        <v>0.0</v>
      </c>
      <c r="N176" s="8">
        <v>0.0</v>
      </c>
      <c r="O176" s="11">
        <v>51251.0</v>
      </c>
      <c r="P176" s="10"/>
      <c r="Q176" s="8">
        <v>0.0</v>
      </c>
      <c r="R176" s="8">
        <v>914270.05</v>
      </c>
      <c r="S176" s="8">
        <v>920341.94</v>
      </c>
      <c r="T176" s="8">
        <v>0.0</v>
      </c>
      <c r="U176" s="8">
        <v>0.0</v>
      </c>
      <c r="V176" s="8">
        <v>0.0</v>
      </c>
      <c r="W176" s="8">
        <v>0.0</v>
      </c>
      <c r="X176" s="8">
        <v>0.0</v>
      </c>
      <c r="Y176" s="8">
        <v>0.0</v>
      </c>
      <c r="Z176" s="8">
        <v>0.0</v>
      </c>
      <c r="AA176" s="8">
        <v>0.0</v>
      </c>
      <c r="AB176" s="8">
        <v>0.0</v>
      </c>
      <c r="AC176" s="8">
        <v>1834611.99</v>
      </c>
      <c r="AD176" s="3" t="s">
        <v>36</v>
      </c>
      <c r="AE176" s="10"/>
      <c r="AF176" s="3">
        <v>0.0</v>
      </c>
      <c r="AG176" s="8">
        <v>12.73</v>
      </c>
      <c r="AH176" s="8">
        <v>18.58</v>
      </c>
    </row>
    <row r="177">
      <c r="A177" s="3">
        <v>176.0</v>
      </c>
      <c r="B177" s="8">
        <v>1834611.99</v>
      </c>
      <c r="C177" s="8">
        <v>1834611.99</v>
      </c>
      <c r="D177" s="8">
        <v>923968.93</v>
      </c>
      <c r="E177" s="8">
        <v>910643.06</v>
      </c>
      <c r="F177" s="8">
        <v>0.0</v>
      </c>
      <c r="G177" s="8">
        <v>0.0</v>
      </c>
      <c r="H177" s="8">
        <v>0.0</v>
      </c>
      <c r="I177" s="8">
        <v>8.491826788E7</v>
      </c>
      <c r="J177" s="8">
        <v>8.491826788E7</v>
      </c>
      <c r="K177" s="8">
        <v>0.0</v>
      </c>
      <c r="L177" s="8">
        <v>0.0</v>
      </c>
      <c r="M177" s="8">
        <v>0.0</v>
      </c>
      <c r="N177" s="8">
        <v>0.0</v>
      </c>
      <c r="O177" s="11">
        <v>51281.0</v>
      </c>
      <c r="P177" s="10"/>
      <c r="Q177" s="8">
        <v>0.0</v>
      </c>
      <c r="R177" s="8">
        <v>923968.93</v>
      </c>
      <c r="S177" s="8">
        <v>910643.06</v>
      </c>
      <c r="T177" s="8">
        <v>0.0</v>
      </c>
      <c r="U177" s="8">
        <v>0.0</v>
      </c>
      <c r="V177" s="8">
        <v>0.0</v>
      </c>
      <c r="W177" s="8">
        <v>0.0</v>
      </c>
      <c r="X177" s="8">
        <v>0.0</v>
      </c>
      <c r="Y177" s="8">
        <v>0.0</v>
      </c>
      <c r="Z177" s="8">
        <v>0.0</v>
      </c>
      <c r="AA177" s="8">
        <v>0.0</v>
      </c>
      <c r="AB177" s="8">
        <v>0.0</v>
      </c>
      <c r="AC177" s="8">
        <v>1834611.99</v>
      </c>
      <c r="AD177" s="3" t="s">
        <v>36</v>
      </c>
      <c r="AE177" s="10"/>
      <c r="AF177" s="3">
        <v>0.0</v>
      </c>
      <c r="AG177" s="8">
        <v>12.73</v>
      </c>
      <c r="AH177" s="8">
        <v>18.58</v>
      </c>
    </row>
    <row r="178">
      <c r="A178" s="3">
        <v>177.0</v>
      </c>
      <c r="B178" s="8">
        <v>1834611.99</v>
      </c>
      <c r="C178" s="8">
        <v>1834611.99</v>
      </c>
      <c r="D178" s="8">
        <v>933770.7</v>
      </c>
      <c r="E178" s="8">
        <v>900841.29</v>
      </c>
      <c r="F178" s="8">
        <v>0.0</v>
      </c>
      <c r="G178" s="8">
        <v>0.0</v>
      </c>
      <c r="H178" s="8">
        <v>0.0</v>
      </c>
      <c r="I178" s="8">
        <v>8.398449718E7</v>
      </c>
      <c r="J178" s="8">
        <v>8.398449718E7</v>
      </c>
      <c r="K178" s="8">
        <v>0.0</v>
      </c>
      <c r="L178" s="8">
        <v>0.0</v>
      </c>
      <c r="M178" s="8">
        <v>0.0</v>
      </c>
      <c r="N178" s="8">
        <v>0.0</v>
      </c>
      <c r="O178" s="11">
        <v>51312.0</v>
      </c>
      <c r="P178" s="10"/>
      <c r="Q178" s="8">
        <v>0.0</v>
      </c>
      <c r="R178" s="8">
        <v>933770.7</v>
      </c>
      <c r="S178" s="8">
        <v>900841.29</v>
      </c>
      <c r="T178" s="8">
        <v>0.0</v>
      </c>
      <c r="U178" s="8">
        <v>0.0</v>
      </c>
      <c r="V178" s="8">
        <v>0.0</v>
      </c>
      <c r="W178" s="8">
        <v>0.0</v>
      </c>
      <c r="X178" s="8">
        <v>0.0</v>
      </c>
      <c r="Y178" s="8">
        <v>0.0</v>
      </c>
      <c r="Z178" s="8">
        <v>0.0</v>
      </c>
      <c r="AA178" s="8">
        <v>0.0</v>
      </c>
      <c r="AB178" s="8">
        <v>0.0</v>
      </c>
      <c r="AC178" s="8">
        <v>1834611.99</v>
      </c>
      <c r="AD178" s="3" t="s">
        <v>36</v>
      </c>
      <c r="AE178" s="10"/>
      <c r="AF178" s="3">
        <v>0.0</v>
      </c>
      <c r="AG178" s="8">
        <v>12.73</v>
      </c>
      <c r="AH178" s="8">
        <v>18.58</v>
      </c>
    </row>
    <row r="179">
      <c r="A179" s="3">
        <v>178.0</v>
      </c>
      <c r="B179" s="8">
        <v>1834611.99</v>
      </c>
      <c r="C179" s="8">
        <v>1834611.99</v>
      </c>
      <c r="D179" s="8">
        <v>943676.45</v>
      </c>
      <c r="E179" s="8">
        <v>890935.54</v>
      </c>
      <c r="F179" s="8">
        <v>0.0</v>
      </c>
      <c r="G179" s="8">
        <v>0.0</v>
      </c>
      <c r="H179" s="8">
        <v>0.0</v>
      </c>
      <c r="I179" s="8">
        <v>8.304082073E7</v>
      </c>
      <c r="J179" s="8">
        <v>8.304082073E7</v>
      </c>
      <c r="K179" s="8">
        <v>0.0</v>
      </c>
      <c r="L179" s="8">
        <v>0.0</v>
      </c>
      <c r="M179" s="8">
        <v>0.0</v>
      </c>
      <c r="N179" s="8">
        <v>0.0</v>
      </c>
      <c r="O179" s="11">
        <v>51342.0</v>
      </c>
      <c r="P179" s="10"/>
      <c r="Q179" s="8">
        <v>0.0</v>
      </c>
      <c r="R179" s="8">
        <v>943676.45</v>
      </c>
      <c r="S179" s="8">
        <v>890935.54</v>
      </c>
      <c r="T179" s="8">
        <v>0.0</v>
      </c>
      <c r="U179" s="8">
        <v>0.0</v>
      </c>
      <c r="V179" s="8">
        <v>0.0</v>
      </c>
      <c r="W179" s="8">
        <v>0.0</v>
      </c>
      <c r="X179" s="8">
        <v>0.0</v>
      </c>
      <c r="Y179" s="8">
        <v>0.0</v>
      </c>
      <c r="Z179" s="8">
        <v>0.0</v>
      </c>
      <c r="AA179" s="8">
        <v>0.0</v>
      </c>
      <c r="AB179" s="8">
        <v>0.0</v>
      </c>
      <c r="AC179" s="8">
        <v>1834611.99</v>
      </c>
      <c r="AD179" s="3" t="s">
        <v>36</v>
      </c>
      <c r="AE179" s="10"/>
      <c r="AF179" s="3">
        <v>0.0</v>
      </c>
      <c r="AG179" s="8">
        <v>12.73</v>
      </c>
      <c r="AH179" s="8">
        <v>18.58</v>
      </c>
    </row>
    <row r="180">
      <c r="A180" s="3">
        <v>179.0</v>
      </c>
      <c r="B180" s="8">
        <v>1834611.99</v>
      </c>
      <c r="C180" s="8">
        <v>1834611.99</v>
      </c>
      <c r="D180" s="8">
        <v>953687.29</v>
      </c>
      <c r="E180" s="8">
        <v>880924.7</v>
      </c>
      <c r="F180" s="8">
        <v>0.0</v>
      </c>
      <c r="G180" s="8">
        <v>0.0</v>
      </c>
      <c r="H180" s="8">
        <v>0.0</v>
      </c>
      <c r="I180" s="8">
        <v>8.208713344E7</v>
      </c>
      <c r="J180" s="8">
        <v>8.208713344E7</v>
      </c>
      <c r="K180" s="8">
        <v>0.0</v>
      </c>
      <c r="L180" s="8">
        <v>0.0</v>
      </c>
      <c r="M180" s="8">
        <v>0.0</v>
      </c>
      <c r="N180" s="8">
        <v>0.0</v>
      </c>
      <c r="O180" s="11">
        <v>51373.0</v>
      </c>
      <c r="P180" s="10"/>
      <c r="Q180" s="8">
        <v>0.0</v>
      </c>
      <c r="R180" s="8">
        <v>953687.29</v>
      </c>
      <c r="S180" s="8">
        <v>880924.7</v>
      </c>
      <c r="T180" s="8">
        <v>0.0</v>
      </c>
      <c r="U180" s="8">
        <v>0.0</v>
      </c>
      <c r="V180" s="8">
        <v>0.0</v>
      </c>
      <c r="W180" s="8">
        <v>0.0</v>
      </c>
      <c r="X180" s="8">
        <v>0.0</v>
      </c>
      <c r="Y180" s="8">
        <v>0.0</v>
      </c>
      <c r="Z180" s="8">
        <v>0.0</v>
      </c>
      <c r="AA180" s="8">
        <v>0.0</v>
      </c>
      <c r="AB180" s="8">
        <v>0.0</v>
      </c>
      <c r="AC180" s="8">
        <v>1834611.99</v>
      </c>
      <c r="AD180" s="3" t="s">
        <v>36</v>
      </c>
      <c r="AE180" s="10"/>
      <c r="AF180" s="3">
        <v>0.0</v>
      </c>
      <c r="AG180" s="8">
        <v>12.73</v>
      </c>
      <c r="AH180" s="8">
        <v>18.58</v>
      </c>
    </row>
    <row r="181">
      <c r="A181" s="3">
        <v>180.0</v>
      </c>
      <c r="B181" s="8">
        <v>1834611.99</v>
      </c>
      <c r="C181" s="8">
        <v>1834611.99</v>
      </c>
      <c r="D181" s="8">
        <v>963804.32</v>
      </c>
      <c r="E181" s="8">
        <v>870807.67</v>
      </c>
      <c r="F181" s="8">
        <v>0.0</v>
      </c>
      <c r="G181" s="8">
        <v>0.0</v>
      </c>
      <c r="H181" s="8">
        <v>0.0</v>
      </c>
      <c r="I181" s="8">
        <v>8.112332912E7</v>
      </c>
      <c r="J181" s="8">
        <v>8.112332912E7</v>
      </c>
      <c r="K181" s="8">
        <v>0.0</v>
      </c>
      <c r="L181" s="8">
        <v>0.0</v>
      </c>
      <c r="M181" s="8">
        <v>0.0</v>
      </c>
      <c r="N181" s="8">
        <v>0.0</v>
      </c>
      <c r="O181" s="11">
        <v>51404.0</v>
      </c>
      <c r="P181" s="10"/>
      <c r="Q181" s="8">
        <v>0.0</v>
      </c>
      <c r="R181" s="8">
        <v>963804.32</v>
      </c>
      <c r="S181" s="8">
        <v>870807.67</v>
      </c>
      <c r="T181" s="8">
        <v>0.0</v>
      </c>
      <c r="U181" s="8">
        <v>0.0</v>
      </c>
      <c r="V181" s="8">
        <v>0.0</v>
      </c>
      <c r="W181" s="8">
        <v>0.0</v>
      </c>
      <c r="X181" s="8">
        <v>0.0</v>
      </c>
      <c r="Y181" s="8">
        <v>0.0</v>
      </c>
      <c r="Z181" s="8">
        <v>0.0</v>
      </c>
      <c r="AA181" s="8">
        <v>0.0</v>
      </c>
      <c r="AB181" s="8">
        <v>0.0</v>
      </c>
      <c r="AC181" s="8">
        <v>1834611.99</v>
      </c>
      <c r="AD181" s="3" t="s">
        <v>36</v>
      </c>
      <c r="AE181" s="10"/>
      <c r="AF181" s="3">
        <v>0.0</v>
      </c>
      <c r="AG181" s="8">
        <v>12.73</v>
      </c>
      <c r="AH181" s="8">
        <v>18.58</v>
      </c>
    </row>
    <row r="182">
      <c r="A182" s="3">
        <v>181.0</v>
      </c>
      <c r="B182" s="8">
        <v>1834611.99</v>
      </c>
      <c r="C182" s="8">
        <v>1834611.99</v>
      </c>
      <c r="D182" s="8">
        <v>974028.68</v>
      </c>
      <c r="E182" s="8">
        <v>860583.31</v>
      </c>
      <c r="F182" s="8">
        <v>0.0</v>
      </c>
      <c r="G182" s="8">
        <v>0.0</v>
      </c>
      <c r="H182" s="8">
        <v>0.0</v>
      </c>
      <c r="I182" s="8">
        <v>8.014930044E7</v>
      </c>
      <c r="J182" s="8">
        <v>8.014930044E7</v>
      </c>
      <c r="K182" s="8">
        <v>0.0</v>
      </c>
      <c r="L182" s="8">
        <v>0.0</v>
      </c>
      <c r="M182" s="8">
        <v>0.0</v>
      </c>
      <c r="N182" s="8">
        <v>0.0</v>
      </c>
      <c r="O182" s="9">
        <v>51434.0</v>
      </c>
      <c r="P182" s="10"/>
      <c r="Q182" s="8">
        <v>0.0</v>
      </c>
      <c r="R182" s="8">
        <v>974028.68</v>
      </c>
      <c r="S182" s="8">
        <v>860583.31</v>
      </c>
      <c r="T182" s="8">
        <v>0.0</v>
      </c>
      <c r="U182" s="8">
        <v>0.0</v>
      </c>
      <c r="V182" s="8">
        <v>0.0</v>
      </c>
      <c r="W182" s="8">
        <v>0.0</v>
      </c>
      <c r="X182" s="8">
        <v>0.0</v>
      </c>
      <c r="Y182" s="8">
        <v>0.0</v>
      </c>
      <c r="Z182" s="8">
        <v>0.0</v>
      </c>
      <c r="AA182" s="8">
        <v>0.0</v>
      </c>
      <c r="AB182" s="8">
        <v>0.0</v>
      </c>
      <c r="AC182" s="8">
        <v>1834611.99</v>
      </c>
      <c r="AD182" s="3" t="s">
        <v>36</v>
      </c>
      <c r="AE182" s="10"/>
      <c r="AF182" s="3">
        <v>0.0</v>
      </c>
      <c r="AG182" s="8">
        <v>12.73</v>
      </c>
      <c r="AH182" s="8">
        <v>18.58</v>
      </c>
    </row>
    <row r="183">
      <c r="A183" s="3">
        <v>182.0</v>
      </c>
      <c r="B183" s="8">
        <v>1834611.99</v>
      </c>
      <c r="C183" s="8">
        <v>1834611.99</v>
      </c>
      <c r="D183" s="8">
        <v>984361.5</v>
      </c>
      <c r="E183" s="8">
        <v>850250.49</v>
      </c>
      <c r="F183" s="8">
        <v>0.0</v>
      </c>
      <c r="G183" s="8">
        <v>0.0</v>
      </c>
      <c r="H183" s="8">
        <v>0.0</v>
      </c>
      <c r="I183" s="8">
        <v>7.916493894E7</v>
      </c>
      <c r="J183" s="8">
        <v>7.916493894E7</v>
      </c>
      <c r="K183" s="8">
        <v>0.0</v>
      </c>
      <c r="L183" s="8">
        <v>0.0</v>
      </c>
      <c r="M183" s="8">
        <v>0.0</v>
      </c>
      <c r="N183" s="8">
        <v>0.0</v>
      </c>
      <c r="O183" s="9">
        <v>51465.0</v>
      </c>
      <c r="P183" s="10"/>
      <c r="Q183" s="8">
        <v>0.0</v>
      </c>
      <c r="R183" s="8">
        <v>984361.5</v>
      </c>
      <c r="S183" s="8">
        <v>850250.49</v>
      </c>
      <c r="T183" s="8">
        <v>0.0</v>
      </c>
      <c r="U183" s="8">
        <v>0.0</v>
      </c>
      <c r="V183" s="8">
        <v>0.0</v>
      </c>
      <c r="W183" s="8">
        <v>0.0</v>
      </c>
      <c r="X183" s="8">
        <v>0.0</v>
      </c>
      <c r="Y183" s="8">
        <v>0.0</v>
      </c>
      <c r="Z183" s="8">
        <v>0.0</v>
      </c>
      <c r="AA183" s="8">
        <v>0.0</v>
      </c>
      <c r="AB183" s="8">
        <v>0.0</v>
      </c>
      <c r="AC183" s="8">
        <v>1834611.99</v>
      </c>
      <c r="AD183" s="3" t="s">
        <v>36</v>
      </c>
      <c r="AE183" s="10"/>
      <c r="AF183" s="3">
        <v>0.0</v>
      </c>
      <c r="AG183" s="8">
        <v>12.73</v>
      </c>
      <c r="AH183" s="8">
        <v>18.58</v>
      </c>
    </row>
    <row r="184">
      <c r="A184" s="3">
        <v>183.0</v>
      </c>
      <c r="B184" s="8">
        <v>1834611.99</v>
      </c>
      <c r="C184" s="8">
        <v>1834611.99</v>
      </c>
      <c r="D184" s="8">
        <v>994803.93</v>
      </c>
      <c r="E184" s="8">
        <v>839808.06</v>
      </c>
      <c r="F184" s="8">
        <v>0.0</v>
      </c>
      <c r="G184" s="8">
        <v>0.0</v>
      </c>
      <c r="H184" s="8">
        <v>0.0</v>
      </c>
      <c r="I184" s="8">
        <v>7.817013501E7</v>
      </c>
      <c r="J184" s="8">
        <v>7.817013501E7</v>
      </c>
      <c r="K184" s="8">
        <v>0.0</v>
      </c>
      <c r="L184" s="8">
        <v>0.0</v>
      </c>
      <c r="M184" s="8">
        <v>0.0</v>
      </c>
      <c r="N184" s="8">
        <v>0.0</v>
      </c>
      <c r="O184" s="9">
        <v>51495.0</v>
      </c>
      <c r="P184" s="10"/>
      <c r="Q184" s="8">
        <v>0.0</v>
      </c>
      <c r="R184" s="8">
        <v>994803.93</v>
      </c>
      <c r="S184" s="8">
        <v>839808.06</v>
      </c>
      <c r="T184" s="8">
        <v>0.0</v>
      </c>
      <c r="U184" s="8">
        <v>0.0</v>
      </c>
      <c r="V184" s="8">
        <v>0.0</v>
      </c>
      <c r="W184" s="8">
        <v>0.0</v>
      </c>
      <c r="X184" s="8">
        <v>0.0</v>
      </c>
      <c r="Y184" s="8">
        <v>0.0</v>
      </c>
      <c r="Z184" s="8">
        <v>0.0</v>
      </c>
      <c r="AA184" s="8">
        <v>0.0</v>
      </c>
      <c r="AB184" s="8">
        <v>0.0</v>
      </c>
      <c r="AC184" s="8">
        <v>1834611.99</v>
      </c>
      <c r="AD184" s="3" t="s">
        <v>36</v>
      </c>
      <c r="AE184" s="10"/>
      <c r="AF184" s="3">
        <v>0.0</v>
      </c>
      <c r="AG184" s="8">
        <v>12.73</v>
      </c>
      <c r="AH184" s="8">
        <v>18.58</v>
      </c>
    </row>
    <row r="185">
      <c r="A185" s="3">
        <v>184.0</v>
      </c>
      <c r="B185" s="8">
        <v>1834611.99</v>
      </c>
      <c r="C185" s="8">
        <v>1834611.99</v>
      </c>
      <c r="D185" s="8">
        <v>1005357.15</v>
      </c>
      <c r="E185" s="8">
        <v>829254.84</v>
      </c>
      <c r="F185" s="8">
        <v>0.0</v>
      </c>
      <c r="G185" s="8">
        <v>0.0</v>
      </c>
      <c r="H185" s="8">
        <v>0.0</v>
      </c>
      <c r="I185" s="8">
        <v>7.716477786E7</v>
      </c>
      <c r="J185" s="8">
        <v>7.716477786E7</v>
      </c>
      <c r="K185" s="8">
        <v>0.0</v>
      </c>
      <c r="L185" s="8">
        <v>0.0</v>
      </c>
      <c r="M185" s="8">
        <v>0.0</v>
      </c>
      <c r="N185" s="8">
        <v>0.0</v>
      </c>
      <c r="O185" s="11">
        <v>51526.0</v>
      </c>
      <c r="P185" s="10"/>
      <c r="Q185" s="8">
        <v>0.0</v>
      </c>
      <c r="R185" s="8">
        <v>1005357.15</v>
      </c>
      <c r="S185" s="8">
        <v>829254.84</v>
      </c>
      <c r="T185" s="8">
        <v>0.0</v>
      </c>
      <c r="U185" s="8">
        <v>0.0</v>
      </c>
      <c r="V185" s="8">
        <v>0.0</v>
      </c>
      <c r="W185" s="8">
        <v>0.0</v>
      </c>
      <c r="X185" s="8">
        <v>0.0</v>
      </c>
      <c r="Y185" s="8">
        <v>0.0</v>
      </c>
      <c r="Z185" s="8">
        <v>0.0</v>
      </c>
      <c r="AA185" s="8">
        <v>0.0</v>
      </c>
      <c r="AB185" s="8">
        <v>0.0</v>
      </c>
      <c r="AC185" s="8">
        <v>1834611.99</v>
      </c>
      <c r="AD185" s="3" t="s">
        <v>36</v>
      </c>
      <c r="AE185" s="10"/>
      <c r="AF185" s="3">
        <v>0.0</v>
      </c>
      <c r="AG185" s="8">
        <v>12.73</v>
      </c>
      <c r="AH185" s="8">
        <v>18.58</v>
      </c>
    </row>
    <row r="186">
      <c r="A186" s="3">
        <v>185.0</v>
      </c>
      <c r="B186" s="8">
        <v>1834611.99</v>
      </c>
      <c r="C186" s="8">
        <v>1834611.99</v>
      </c>
      <c r="D186" s="8">
        <v>1016022.31</v>
      </c>
      <c r="E186" s="8">
        <v>818589.68</v>
      </c>
      <c r="F186" s="8">
        <v>0.0</v>
      </c>
      <c r="G186" s="8">
        <v>0.0</v>
      </c>
      <c r="H186" s="8">
        <v>0.0</v>
      </c>
      <c r="I186" s="8">
        <v>7.614875555E7</v>
      </c>
      <c r="J186" s="8">
        <v>7.614875555E7</v>
      </c>
      <c r="K186" s="8">
        <v>0.0</v>
      </c>
      <c r="L186" s="8">
        <v>0.0</v>
      </c>
      <c r="M186" s="8">
        <v>0.0</v>
      </c>
      <c r="N186" s="8">
        <v>0.0</v>
      </c>
      <c r="O186" s="11">
        <v>51557.0</v>
      </c>
      <c r="P186" s="10"/>
      <c r="Q186" s="8">
        <v>0.0</v>
      </c>
      <c r="R186" s="8">
        <v>1016022.31</v>
      </c>
      <c r="S186" s="8">
        <v>818589.68</v>
      </c>
      <c r="T186" s="8">
        <v>0.0</v>
      </c>
      <c r="U186" s="8">
        <v>0.0</v>
      </c>
      <c r="V186" s="8">
        <v>0.0</v>
      </c>
      <c r="W186" s="8">
        <v>0.0</v>
      </c>
      <c r="X186" s="8">
        <v>0.0</v>
      </c>
      <c r="Y186" s="8">
        <v>0.0</v>
      </c>
      <c r="Z186" s="8">
        <v>0.0</v>
      </c>
      <c r="AA186" s="8">
        <v>0.0</v>
      </c>
      <c r="AB186" s="8">
        <v>0.0</v>
      </c>
      <c r="AC186" s="8">
        <v>1834611.99</v>
      </c>
      <c r="AD186" s="3" t="s">
        <v>36</v>
      </c>
      <c r="AE186" s="10"/>
      <c r="AF186" s="3">
        <v>0.0</v>
      </c>
      <c r="AG186" s="8">
        <v>12.73</v>
      </c>
      <c r="AH186" s="8">
        <v>18.58</v>
      </c>
    </row>
    <row r="187">
      <c r="A187" s="3">
        <v>186.0</v>
      </c>
      <c r="B187" s="8">
        <v>1834611.99</v>
      </c>
      <c r="C187" s="8">
        <v>1834611.99</v>
      </c>
      <c r="D187" s="8">
        <v>1026800.61</v>
      </c>
      <c r="E187" s="8">
        <v>807811.38</v>
      </c>
      <c r="F187" s="8">
        <v>0.0</v>
      </c>
      <c r="G187" s="8">
        <v>0.0</v>
      </c>
      <c r="H187" s="8">
        <v>0.0</v>
      </c>
      <c r="I187" s="8">
        <v>7.512195494E7</v>
      </c>
      <c r="J187" s="8">
        <v>7.512195494E7</v>
      </c>
      <c r="K187" s="8">
        <v>0.0</v>
      </c>
      <c r="L187" s="8">
        <v>0.0</v>
      </c>
      <c r="M187" s="8">
        <v>0.0</v>
      </c>
      <c r="N187" s="8">
        <v>0.0</v>
      </c>
      <c r="O187" s="11">
        <v>51585.0</v>
      </c>
      <c r="P187" s="10"/>
      <c r="Q187" s="8">
        <v>0.0</v>
      </c>
      <c r="R187" s="8">
        <v>1026800.61</v>
      </c>
      <c r="S187" s="8">
        <v>807811.38</v>
      </c>
      <c r="T187" s="8">
        <v>0.0</v>
      </c>
      <c r="U187" s="8">
        <v>0.0</v>
      </c>
      <c r="V187" s="8">
        <v>0.0</v>
      </c>
      <c r="W187" s="8">
        <v>0.0</v>
      </c>
      <c r="X187" s="8">
        <v>0.0</v>
      </c>
      <c r="Y187" s="8">
        <v>0.0</v>
      </c>
      <c r="Z187" s="8">
        <v>0.0</v>
      </c>
      <c r="AA187" s="8">
        <v>0.0</v>
      </c>
      <c r="AB187" s="8">
        <v>0.0</v>
      </c>
      <c r="AC187" s="8">
        <v>1834611.99</v>
      </c>
      <c r="AD187" s="3" t="s">
        <v>36</v>
      </c>
      <c r="AE187" s="10"/>
      <c r="AF187" s="3">
        <v>0.0</v>
      </c>
      <c r="AG187" s="8">
        <v>12.73</v>
      </c>
      <c r="AH187" s="8">
        <v>18.58</v>
      </c>
    </row>
    <row r="188">
      <c r="A188" s="3">
        <v>187.0</v>
      </c>
      <c r="B188" s="8">
        <v>1834611.99</v>
      </c>
      <c r="C188" s="8">
        <v>1834611.99</v>
      </c>
      <c r="D188" s="8">
        <v>1037693.26</v>
      </c>
      <c r="E188" s="8">
        <v>796918.73</v>
      </c>
      <c r="F188" s="8">
        <v>0.0</v>
      </c>
      <c r="G188" s="8">
        <v>0.0</v>
      </c>
      <c r="H188" s="8">
        <v>0.0</v>
      </c>
      <c r="I188" s="8">
        <v>7.408426168E7</v>
      </c>
      <c r="J188" s="8">
        <v>7.408426168E7</v>
      </c>
      <c r="K188" s="8">
        <v>0.0</v>
      </c>
      <c r="L188" s="8">
        <v>0.0</v>
      </c>
      <c r="M188" s="8">
        <v>0.0</v>
      </c>
      <c r="N188" s="8">
        <v>0.0</v>
      </c>
      <c r="O188" s="11">
        <v>51616.0</v>
      </c>
      <c r="P188" s="10"/>
      <c r="Q188" s="8">
        <v>0.0</v>
      </c>
      <c r="R188" s="8">
        <v>1037693.26</v>
      </c>
      <c r="S188" s="8">
        <v>796918.73</v>
      </c>
      <c r="T188" s="8">
        <v>0.0</v>
      </c>
      <c r="U188" s="8">
        <v>0.0</v>
      </c>
      <c r="V188" s="8">
        <v>0.0</v>
      </c>
      <c r="W188" s="8">
        <v>0.0</v>
      </c>
      <c r="X188" s="8">
        <v>0.0</v>
      </c>
      <c r="Y188" s="8">
        <v>0.0</v>
      </c>
      <c r="Z188" s="8">
        <v>0.0</v>
      </c>
      <c r="AA188" s="8">
        <v>0.0</v>
      </c>
      <c r="AB188" s="8">
        <v>0.0</v>
      </c>
      <c r="AC188" s="8">
        <v>1834611.99</v>
      </c>
      <c r="AD188" s="3" t="s">
        <v>36</v>
      </c>
      <c r="AE188" s="10"/>
      <c r="AF188" s="3">
        <v>0.0</v>
      </c>
      <c r="AG188" s="8">
        <v>12.73</v>
      </c>
      <c r="AH188" s="8">
        <v>18.58</v>
      </c>
    </row>
    <row r="189">
      <c r="A189" s="3">
        <v>188.0</v>
      </c>
      <c r="B189" s="8">
        <v>1834611.99</v>
      </c>
      <c r="C189" s="8">
        <v>1834611.99</v>
      </c>
      <c r="D189" s="8">
        <v>1048701.45</v>
      </c>
      <c r="E189" s="8">
        <v>785910.54</v>
      </c>
      <c r="F189" s="8">
        <v>0.0</v>
      </c>
      <c r="G189" s="8">
        <v>0.0</v>
      </c>
      <c r="H189" s="8">
        <v>0.0</v>
      </c>
      <c r="I189" s="8">
        <v>7.303556023E7</v>
      </c>
      <c r="J189" s="8">
        <v>7.303556023E7</v>
      </c>
      <c r="K189" s="8">
        <v>0.0</v>
      </c>
      <c r="L189" s="8">
        <v>0.0</v>
      </c>
      <c r="M189" s="8">
        <v>0.0</v>
      </c>
      <c r="N189" s="8">
        <v>0.0</v>
      </c>
      <c r="O189" s="11">
        <v>51646.0</v>
      </c>
      <c r="P189" s="10"/>
      <c r="Q189" s="8">
        <v>0.0</v>
      </c>
      <c r="R189" s="8">
        <v>1048701.45</v>
      </c>
      <c r="S189" s="8">
        <v>785910.54</v>
      </c>
      <c r="T189" s="8">
        <v>0.0</v>
      </c>
      <c r="U189" s="8">
        <v>0.0</v>
      </c>
      <c r="V189" s="8">
        <v>0.0</v>
      </c>
      <c r="W189" s="8">
        <v>0.0</v>
      </c>
      <c r="X189" s="8">
        <v>0.0</v>
      </c>
      <c r="Y189" s="8">
        <v>0.0</v>
      </c>
      <c r="Z189" s="8">
        <v>0.0</v>
      </c>
      <c r="AA189" s="8">
        <v>0.0</v>
      </c>
      <c r="AB189" s="8">
        <v>0.0</v>
      </c>
      <c r="AC189" s="8">
        <v>1834611.99</v>
      </c>
      <c r="AD189" s="3" t="s">
        <v>36</v>
      </c>
      <c r="AE189" s="10"/>
      <c r="AF189" s="3">
        <v>0.0</v>
      </c>
      <c r="AG189" s="8">
        <v>12.73</v>
      </c>
      <c r="AH189" s="8">
        <v>18.58</v>
      </c>
    </row>
    <row r="190">
      <c r="A190" s="3">
        <v>189.0</v>
      </c>
      <c r="B190" s="8">
        <v>1834611.99</v>
      </c>
      <c r="C190" s="8">
        <v>1834611.99</v>
      </c>
      <c r="D190" s="8">
        <v>1059826.43</v>
      </c>
      <c r="E190" s="8">
        <v>774785.56</v>
      </c>
      <c r="F190" s="8">
        <v>0.0</v>
      </c>
      <c r="G190" s="8">
        <v>0.0</v>
      </c>
      <c r="H190" s="8">
        <v>0.0</v>
      </c>
      <c r="I190" s="8">
        <v>7.19757338E7</v>
      </c>
      <c r="J190" s="8">
        <v>7.19757338E7</v>
      </c>
      <c r="K190" s="8">
        <v>0.0</v>
      </c>
      <c r="L190" s="8">
        <v>0.0</v>
      </c>
      <c r="M190" s="8">
        <v>0.0</v>
      </c>
      <c r="N190" s="8">
        <v>0.0</v>
      </c>
      <c r="O190" s="11">
        <v>51677.0</v>
      </c>
      <c r="P190" s="10"/>
      <c r="Q190" s="8">
        <v>0.0</v>
      </c>
      <c r="R190" s="8">
        <v>1059826.43</v>
      </c>
      <c r="S190" s="8">
        <v>774785.56</v>
      </c>
      <c r="T190" s="8">
        <v>0.0</v>
      </c>
      <c r="U190" s="8">
        <v>0.0</v>
      </c>
      <c r="V190" s="8">
        <v>0.0</v>
      </c>
      <c r="W190" s="8">
        <v>0.0</v>
      </c>
      <c r="X190" s="8">
        <v>0.0</v>
      </c>
      <c r="Y190" s="8">
        <v>0.0</v>
      </c>
      <c r="Z190" s="8">
        <v>0.0</v>
      </c>
      <c r="AA190" s="8">
        <v>0.0</v>
      </c>
      <c r="AB190" s="8">
        <v>0.0</v>
      </c>
      <c r="AC190" s="8">
        <v>1834611.99</v>
      </c>
      <c r="AD190" s="3" t="s">
        <v>36</v>
      </c>
      <c r="AE190" s="10"/>
      <c r="AF190" s="3">
        <v>0.0</v>
      </c>
      <c r="AG190" s="8">
        <v>12.73</v>
      </c>
      <c r="AH190" s="8">
        <v>18.58</v>
      </c>
    </row>
    <row r="191">
      <c r="A191" s="3">
        <v>190.0</v>
      </c>
      <c r="B191" s="8">
        <v>1834611.99</v>
      </c>
      <c r="C191" s="8">
        <v>1834611.99</v>
      </c>
      <c r="D191" s="8">
        <v>1071069.42</v>
      </c>
      <c r="E191" s="8">
        <v>763542.57</v>
      </c>
      <c r="F191" s="8">
        <v>0.0</v>
      </c>
      <c r="G191" s="8">
        <v>0.0</v>
      </c>
      <c r="H191" s="8">
        <v>0.0</v>
      </c>
      <c r="I191" s="8">
        <v>7.090466438E7</v>
      </c>
      <c r="J191" s="8">
        <v>7.090466438E7</v>
      </c>
      <c r="K191" s="8">
        <v>0.0</v>
      </c>
      <c r="L191" s="8">
        <v>0.0</v>
      </c>
      <c r="M191" s="8">
        <v>0.0</v>
      </c>
      <c r="N191" s="8">
        <v>0.0</v>
      </c>
      <c r="O191" s="11">
        <v>51707.0</v>
      </c>
      <c r="P191" s="10"/>
      <c r="Q191" s="8">
        <v>0.0</v>
      </c>
      <c r="R191" s="8">
        <v>1071069.42</v>
      </c>
      <c r="S191" s="8">
        <v>763542.57</v>
      </c>
      <c r="T191" s="8">
        <v>0.0</v>
      </c>
      <c r="U191" s="8">
        <v>0.0</v>
      </c>
      <c r="V191" s="8">
        <v>0.0</v>
      </c>
      <c r="W191" s="8">
        <v>0.0</v>
      </c>
      <c r="X191" s="8">
        <v>0.0</v>
      </c>
      <c r="Y191" s="8">
        <v>0.0</v>
      </c>
      <c r="Z191" s="8">
        <v>0.0</v>
      </c>
      <c r="AA191" s="8">
        <v>0.0</v>
      </c>
      <c r="AB191" s="8">
        <v>0.0</v>
      </c>
      <c r="AC191" s="8">
        <v>1834611.99</v>
      </c>
      <c r="AD191" s="3" t="s">
        <v>36</v>
      </c>
      <c r="AE191" s="10"/>
      <c r="AF191" s="3">
        <v>0.0</v>
      </c>
      <c r="AG191" s="8">
        <v>12.73</v>
      </c>
      <c r="AH191" s="8">
        <v>18.58</v>
      </c>
    </row>
    <row r="192">
      <c r="A192" s="3">
        <v>191.0</v>
      </c>
      <c r="B192" s="8">
        <v>1834611.99</v>
      </c>
      <c r="C192" s="8">
        <v>1834611.99</v>
      </c>
      <c r="D192" s="8">
        <v>1082431.68</v>
      </c>
      <c r="E192" s="8">
        <v>752180.31</v>
      </c>
      <c r="F192" s="8">
        <v>0.0</v>
      </c>
      <c r="G192" s="8">
        <v>0.0</v>
      </c>
      <c r="H192" s="8">
        <v>0.0</v>
      </c>
      <c r="I192" s="8">
        <v>6.98222327E7</v>
      </c>
      <c r="J192" s="8">
        <v>6.98222327E7</v>
      </c>
      <c r="K192" s="8">
        <v>0.0</v>
      </c>
      <c r="L192" s="8">
        <v>0.0</v>
      </c>
      <c r="M192" s="8">
        <v>0.0</v>
      </c>
      <c r="N192" s="8">
        <v>0.0</v>
      </c>
      <c r="O192" s="11">
        <v>51738.0</v>
      </c>
      <c r="P192" s="10"/>
      <c r="Q192" s="8">
        <v>0.0</v>
      </c>
      <c r="R192" s="8">
        <v>1082431.68</v>
      </c>
      <c r="S192" s="8">
        <v>752180.31</v>
      </c>
      <c r="T192" s="8">
        <v>0.0</v>
      </c>
      <c r="U192" s="8">
        <v>0.0</v>
      </c>
      <c r="V192" s="8">
        <v>0.0</v>
      </c>
      <c r="W192" s="8">
        <v>0.0</v>
      </c>
      <c r="X192" s="8">
        <v>0.0</v>
      </c>
      <c r="Y192" s="8">
        <v>0.0</v>
      </c>
      <c r="Z192" s="8">
        <v>0.0</v>
      </c>
      <c r="AA192" s="8">
        <v>0.0</v>
      </c>
      <c r="AB192" s="8">
        <v>0.0</v>
      </c>
      <c r="AC192" s="8">
        <v>1834611.99</v>
      </c>
      <c r="AD192" s="3" t="s">
        <v>36</v>
      </c>
      <c r="AE192" s="10"/>
      <c r="AF192" s="3">
        <v>0.0</v>
      </c>
      <c r="AG192" s="8">
        <v>12.73</v>
      </c>
      <c r="AH192" s="8">
        <v>18.58</v>
      </c>
    </row>
    <row r="193">
      <c r="A193" s="3">
        <v>192.0</v>
      </c>
      <c r="B193" s="8">
        <v>1834611.99</v>
      </c>
      <c r="C193" s="8">
        <v>1834611.99</v>
      </c>
      <c r="D193" s="8">
        <v>1093914.48</v>
      </c>
      <c r="E193" s="8">
        <v>740697.51</v>
      </c>
      <c r="F193" s="8">
        <v>0.0</v>
      </c>
      <c r="G193" s="8">
        <v>0.0</v>
      </c>
      <c r="H193" s="8">
        <v>0.0</v>
      </c>
      <c r="I193" s="8">
        <v>6.872831822E7</v>
      </c>
      <c r="J193" s="8">
        <v>6.872831822E7</v>
      </c>
      <c r="K193" s="8">
        <v>0.0</v>
      </c>
      <c r="L193" s="8">
        <v>0.0</v>
      </c>
      <c r="M193" s="8">
        <v>0.0</v>
      </c>
      <c r="N193" s="8">
        <v>0.0</v>
      </c>
      <c r="O193" s="11">
        <v>51769.0</v>
      </c>
      <c r="P193" s="10"/>
      <c r="Q193" s="8">
        <v>0.0</v>
      </c>
      <c r="R193" s="8">
        <v>1093914.48</v>
      </c>
      <c r="S193" s="8">
        <v>740697.51</v>
      </c>
      <c r="T193" s="8">
        <v>0.0</v>
      </c>
      <c r="U193" s="8">
        <v>0.0</v>
      </c>
      <c r="V193" s="8">
        <v>0.0</v>
      </c>
      <c r="W193" s="8">
        <v>0.0</v>
      </c>
      <c r="X193" s="8">
        <v>0.0</v>
      </c>
      <c r="Y193" s="8">
        <v>0.0</v>
      </c>
      <c r="Z193" s="8">
        <v>0.0</v>
      </c>
      <c r="AA193" s="8">
        <v>0.0</v>
      </c>
      <c r="AB193" s="8">
        <v>0.0</v>
      </c>
      <c r="AC193" s="8">
        <v>1834611.99</v>
      </c>
      <c r="AD193" s="3" t="s">
        <v>36</v>
      </c>
      <c r="AE193" s="10"/>
      <c r="AF193" s="3">
        <v>0.0</v>
      </c>
      <c r="AG193" s="8">
        <v>12.73</v>
      </c>
      <c r="AH193" s="8">
        <v>18.58</v>
      </c>
    </row>
    <row r="194">
      <c r="A194" s="3">
        <v>193.0</v>
      </c>
      <c r="B194" s="8">
        <v>1834611.99</v>
      </c>
      <c r="C194" s="8">
        <v>1834611.99</v>
      </c>
      <c r="D194" s="8">
        <v>1105519.09</v>
      </c>
      <c r="E194" s="8">
        <v>729092.9</v>
      </c>
      <c r="F194" s="8">
        <v>0.0</v>
      </c>
      <c r="G194" s="8">
        <v>0.0</v>
      </c>
      <c r="H194" s="8">
        <v>0.0</v>
      </c>
      <c r="I194" s="8">
        <v>6.762279913E7</v>
      </c>
      <c r="J194" s="8">
        <v>6.762279913E7</v>
      </c>
      <c r="K194" s="8">
        <v>0.0</v>
      </c>
      <c r="L194" s="8">
        <v>0.0</v>
      </c>
      <c r="M194" s="8">
        <v>0.0</v>
      </c>
      <c r="N194" s="8">
        <v>0.0</v>
      </c>
      <c r="O194" s="9">
        <v>51799.0</v>
      </c>
      <c r="P194" s="10"/>
      <c r="Q194" s="8">
        <v>0.0</v>
      </c>
      <c r="R194" s="8">
        <v>1105519.09</v>
      </c>
      <c r="S194" s="8">
        <v>729092.9</v>
      </c>
      <c r="T194" s="8">
        <v>0.0</v>
      </c>
      <c r="U194" s="8">
        <v>0.0</v>
      </c>
      <c r="V194" s="8">
        <v>0.0</v>
      </c>
      <c r="W194" s="8">
        <v>0.0</v>
      </c>
      <c r="X194" s="8">
        <v>0.0</v>
      </c>
      <c r="Y194" s="8">
        <v>0.0</v>
      </c>
      <c r="Z194" s="8">
        <v>0.0</v>
      </c>
      <c r="AA194" s="8">
        <v>0.0</v>
      </c>
      <c r="AB194" s="8">
        <v>0.0</v>
      </c>
      <c r="AC194" s="8">
        <v>1834611.99</v>
      </c>
      <c r="AD194" s="3" t="s">
        <v>36</v>
      </c>
      <c r="AE194" s="10"/>
      <c r="AF194" s="3">
        <v>0.0</v>
      </c>
      <c r="AG194" s="8">
        <v>12.73</v>
      </c>
      <c r="AH194" s="8">
        <v>18.58</v>
      </c>
    </row>
    <row r="195">
      <c r="A195" s="3">
        <v>194.0</v>
      </c>
      <c r="B195" s="8">
        <v>1834611.99</v>
      </c>
      <c r="C195" s="8">
        <v>1834611.99</v>
      </c>
      <c r="D195" s="8">
        <v>1117246.8</v>
      </c>
      <c r="E195" s="8">
        <v>717365.19</v>
      </c>
      <c r="F195" s="8">
        <v>0.0</v>
      </c>
      <c r="G195" s="8">
        <v>0.0</v>
      </c>
      <c r="H195" s="8">
        <v>0.0</v>
      </c>
      <c r="I195" s="8">
        <v>6.650555233E7</v>
      </c>
      <c r="J195" s="8">
        <v>6.650555233E7</v>
      </c>
      <c r="K195" s="8">
        <v>0.0</v>
      </c>
      <c r="L195" s="8">
        <v>0.0</v>
      </c>
      <c r="M195" s="8">
        <v>0.0</v>
      </c>
      <c r="N195" s="8">
        <v>0.0</v>
      </c>
      <c r="O195" s="9">
        <v>51830.0</v>
      </c>
      <c r="P195" s="10"/>
      <c r="Q195" s="8">
        <v>0.0</v>
      </c>
      <c r="R195" s="8">
        <v>1117246.8</v>
      </c>
      <c r="S195" s="8">
        <v>717365.19</v>
      </c>
      <c r="T195" s="8">
        <v>0.0</v>
      </c>
      <c r="U195" s="8">
        <v>0.0</v>
      </c>
      <c r="V195" s="8">
        <v>0.0</v>
      </c>
      <c r="W195" s="8">
        <v>0.0</v>
      </c>
      <c r="X195" s="8">
        <v>0.0</v>
      </c>
      <c r="Y195" s="8">
        <v>0.0</v>
      </c>
      <c r="Z195" s="8">
        <v>0.0</v>
      </c>
      <c r="AA195" s="8">
        <v>0.0</v>
      </c>
      <c r="AB195" s="8">
        <v>0.0</v>
      </c>
      <c r="AC195" s="8">
        <v>1834611.99</v>
      </c>
      <c r="AD195" s="3" t="s">
        <v>36</v>
      </c>
      <c r="AE195" s="10"/>
      <c r="AF195" s="3">
        <v>0.0</v>
      </c>
      <c r="AG195" s="8">
        <v>12.73</v>
      </c>
      <c r="AH195" s="8">
        <v>18.58</v>
      </c>
    </row>
    <row r="196">
      <c r="A196" s="3">
        <v>195.0</v>
      </c>
      <c r="B196" s="8">
        <v>1834611.99</v>
      </c>
      <c r="C196" s="8">
        <v>1834611.99</v>
      </c>
      <c r="D196" s="8">
        <v>1129098.93</v>
      </c>
      <c r="E196" s="8">
        <v>705513.06</v>
      </c>
      <c r="F196" s="8">
        <v>0.0</v>
      </c>
      <c r="G196" s="8">
        <v>0.0</v>
      </c>
      <c r="H196" s="8">
        <v>0.0</v>
      </c>
      <c r="I196" s="8">
        <v>6.53764534E7</v>
      </c>
      <c r="J196" s="8">
        <v>6.53764534E7</v>
      </c>
      <c r="K196" s="8">
        <v>0.0</v>
      </c>
      <c r="L196" s="8">
        <v>0.0</v>
      </c>
      <c r="M196" s="8">
        <v>0.0</v>
      </c>
      <c r="N196" s="8">
        <v>0.0</v>
      </c>
      <c r="O196" s="9">
        <v>51860.0</v>
      </c>
      <c r="P196" s="10"/>
      <c r="Q196" s="8">
        <v>0.0</v>
      </c>
      <c r="R196" s="8">
        <v>1129098.93</v>
      </c>
      <c r="S196" s="8">
        <v>705513.06</v>
      </c>
      <c r="T196" s="8">
        <v>0.0</v>
      </c>
      <c r="U196" s="8">
        <v>0.0</v>
      </c>
      <c r="V196" s="8">
        <v>0.0</v>
      </c>
      <c r="W196" s="8">
        <v>0.0</v>
      </c>
      <c r="X196" s="8">
        <v>0.0</v>
      </c>
      <c r="Y196" s="8">
        <v>0.0</v>
      </c>
      <c r="Z196" s="8">
        <v>0.0</v>
      </c>
      <c r="AA196" s="8">
        <v>0.0</v>
      </c>
      <c r="AB196" s="8">
        <v>0.0</v>
      </c>
      <c r="AC196" s="8">
        <v>1834611.99</v>
      </c>
      <c r="AD196" s="3" t="s">
        <v>36</v>
      </c>
      <c r="AE196" s="10"/>
      <c r="AF196" s="3">
        <v>0.0</v>
      </c>
      <c r="AG196" s="8">
        <v>12.73</v>
      </c>
      <c r="AH196" s="8">
        <v>18.58</v>
      </c>
    </row>
    <row r="197">
      <c r="A197" s="3">
        <v>196.0</v>
      </c>
      <c r="B197" s="8">
        <v>1834611.99</v>
      </c>
      <c r="C197" s="8">
        <v>1834611.99</v>
      </c>
      <c r="D197" s="8">
        <v>1141076.79</v>
      </c>
      <c r="E197" s="8">
        <v>693535.2</v>
      </c>
      <c r="F197" s="8">
        <v>0.0</v>
      </c>
      <c r="G197" s="8">
        <v>0.0</v>
      </c>
      <c r="H197" s="8">
        <v>0.0</v>
      </c>
      <c r="I197" s="8">
        <v>6.423537661E7</v>
      </c>
      <c r="J197" s="8">
        <v>6.423537661E7</v>
      </c>
      <c r="K197" s="8">
        <v>0.0</v>
      </c>
      <c r="L197" s="8">
        <v>0.0</v>
      </c>
      <c r="M197" s="8">
        <v>0.0</v>
      </c>
      <c r="N197" s="8">
        <v>0.0</v>
      </c>
      <c r="O197" s="11">
        <v>51891.0</v>
      </c>
      <c r="P197" s="10"/>
      <c r="Q197" s="8">
        <v>0.0</v>
      </c>
      <c r="R197" s="8">
        <v>1141076.79</v>
      </c>
      <c r="S197" s="8">
        <v>693535.2</v>
      </c>
      <c r="T197" s="8">
        <v>0.0</v>
      </c>
      <c r="U197" s="8">
        <v>0.0</v>
      </c>
      <c r="V197" s="8">
        <v>0.0</v>
      </c>
      <c r="W197" s="8">
        <v>0.0</v>
      </c>
      <c r="X197" s="8">
        <v>0.0</v>
      </c>
      <c r="Y197" s="8">
        <v>0.0</v>
      </c>
      <c r="Z197" s="8">
        <v>0.0</v>
      </c>
      <c r="AA197" s="8">
        <v>0.0</v>
      </c>
      <c r="AB197" s="8">
        <v>0.0</v>
      </c>
      <c r="AC197" s="8">
        <v>1834611.99</v>
      </c>
      <c r="AD197" s="3" t="s">
        <v>36</v>
      </c>
      <c r="AE197" s="10"/>
      <c r="AF197" s="3">
        <v>0.0</v>
      </c>
      <c r="AG197" s="8">
        <v>12.73</v>
      </c>
      <c r="AH197" s="8">
        <v>18.58</v>
      </c>
    </row>
    <row r="198">
      <c r="A198" s="3">
        <v>197.0</v>
      </c>
      <c r="B198" s="8">
        <v>1834611.99</v>
      </c>
      <c r="C198" s="8">
        <v>1834611.99</v>
      </c>
      <c r="D198" s="8">
        <v>1153181.71</v>
      </c>
      <c r="E198" s="8">
        <v>681430.28</v>
      </c>
      <c r="F198" s="8">
        <v>0.0</v>
      </c>
      <c r="G198" s="8">
        <v>0.0</v>
      </c>
      <c r="H198" s="8">
        <v>0.0</v>
      </c>
      <c r="I198" s="8">
        <v>6.30821949E7</v>
      </c>
      <c r="J198" s="8">
        <v>6.30821949E7</v>
      </c>
      <c r="K198" s="8">
        <v>0.0</v>
      </c>
      <c r="L198" s="8">
        <v>0.0</v>
      </c>
      <c r="M198" s="8">
        <v>0.0</v>
      </c>
      <c r="N198" s="8">
        <v>0.0</v>
      </c>
      <c r="O198" s="11">
        <v>51922.0</v>
      </c>
      <c r="P198" s="10"/>
      <c r="Q198" s="8">
        <v>0.0</v>
      </c>
      <c r="R198" s="8">
        <v>1153181.71</v>
      </c>
      <c r="S198" s="8">
        <v>681430.28</v>
      </c>
      <c r="T198" s="8">
        <v>0.0</v>
      </c>
      <c r="U198" s="8">
        <v>0.0</v>
      </c>
      <c r="V198" s="8">
        <v>0.0</v>
      </c>
      <c r="W198" s="8">
        <v>0.0</v>
      </c>
      <c r="X198" s="8">
        <v>0.0</v>
      </c>
      <c r="Y198" s="8">
        <v>0.0</v>
      </c>
      <c r="Z198" s="8">
        <v>0.0</v>
      </c>
      <c r="AA198" s="8">
        <v>0.0</v>
      </c>
      <c r="AB198" s="8">
        <v>0.0</v>
      </c>
      <c r="AC198" s="8">
        <v>1834611.99</v>
      </c>
      <c r="AD198" s="3" t="s">
        <v>36</v>
      </c>
      <c r="AE198" s="10"/>
      <c r="AF198" s="3">
        <v>0.0</v>
      </c>
      <c r="AG198" s="8">
        <v>12.73</v>
      </c>
      <c r="AH198" s="8">
        <v>18.58</v>
      </c>
    </row>
    <row r="199">
      <c r="A199" s="3">
        <v>198.0</v>
      </c>
      <c r="B199" s="8">
        <v>1834611.99</v>
      </c>
      <c r="C199" s="8">
        <v>1834611.99</v>
      </c>
      <c r="D199" s="8">
        <v>1165415.04</v>
      </c>
      <c r="E199" s="8">
        <v>669196.95</v>
      </c>
      <c r="F199" s="8">
        <v>0.0</v>
      </c>
      <c r="G199" s="8">
        <v>0.0</v>
      </c>
      <c r="H199" s="8">
        <v>0.0</v>
      </c>
      <c r="I199" s="8">
        <v>6.191677986E7</v>
      </c>
      <c r="J199" s="8">
        <v>6.191677986E7</v>
      </c>
      <c r="K199" s="8">
        <v>0.0</v>
      </c>
      <c r="L199" s="8">
        <v>0.0</v>
      </c>
      <c r="M199" s="8">
        <v>0.0</v>
      </c>
      <c r="N199" s="8">
        <v>0.0</v>
      </c>
      <c r="O199" s="11">
        <v>51950.0</v>
      </c>
      <c r="P199" s="10"/>
      <c r="Q199" s="8">
        <v>0.0</v>
      </c>
      <c r="R199" s="8">
        <v>1165415.04</v>
      </c>
      <c r="S199" s="8">
        <v>669196.95</v>
      </c>
      <c r="T199" s="8">
        <v>0.0</v>
      </c>
      <c r="U199" s="8">
        <v>0.0</v>
      </c>
      <c r="V199" s="8">
        <v>0.0</v>
      </c>
      <c r="W199" s="8">
        <v>0.0</v>
      </c>
      <c r="X199" s="8">
        <v>0.0</v>
      </c>
      <c r="Y199" s="8">
        <v>0.0</v>
      </c>
      <c r="Z199" s="8">
        <v>0.0</v>
      </c>
      <c r="AA199" s="8">
        <v>0.0</v>
      </c>
      <c r="AB199" s="8">
        <v>0.0</v>
      </c>
      <c r="AC199" s="8">
        <v>1834611.99</v>
      </c>
      <c r="AD199" s="3" t="s">
        <v>36</v>
      </c>
      <c r="AE199" s="10"/>
      <c r="AF199" s="3">
        <v>0.0</v>
      </c>
      <c r="AG199" s="8">
        <v>12.73</v>
      </c>
      <c r="AH199" s="8">
        <v>18.58</v>
      </c>
    </row>
    <row r="200">
      <c r="A200" s="3">
        <v>199.0</v>
      </c>
      <c r="B200" s="8">
        <v>1834611.99</v>
      </c>
      <c r="C200" s="8">
        <v>1834611.99</v>
      </c>
      <c r="D200" s="8">
        <v>1177778.16</v>
      </c>
      <c r="E200" s="8">
        <v>656833.83</v>
      </c>
      <c r="F200" s="8">
        <v>0.0</v>
      </c>
      <c r="G200" s="8">
        <v>0.0</v>
      </c>
      <c r="H200" s="8">
        <v>0.0</v>
      </c>
      <c r="I200" s="8">
        <v>6.07390017E7</v>
      </c>
      <c r="J200" s="8">
        <v>6.07390017E7</v>
      </c>
      <c r="K200" s="8">
        <v>0.0</v>
      </c>
      <c r="L200" s="8">
        <v>0.0</v>
      </c>
      <c r="M200" s="8">
        <v>0.0</v>
      </c>
      <c r="N200" s="8">
        <v>0.0</v>
      </c>
      <c r="O200" s="11">
        <v>51981.0</v>
      </c>
      <c r="P200" s="10"/>
      <c r="Q200" s="8">
        <v>0.0</v>
      </c>
      <c r="R200" s="8">
        <v>1177778.16</v>
      </c>
      <c r="S200" s="8">
        <v>656833.83</v>
      </c>
      <c r="T200" s="8">
        <v>0.0</v>
      </c>
      <c r="U200" s="8">
        <v>0.0</v>
      </c>
      <c r="V200" s="8">
        <v>0.0</v>
      </c>
      <c r="W200" s="8">
        <v>0.0</v>
      </c>
      <c r="X200" s="8">
        <v>0.0</v>
      </c>
      <c r="Y200" s="8">
        <v>0.0</v>
      </c>
      <c r="Z200" s="8">
        <v>0.0</v>
      </c>
      <c r="AA200" s="8">
        <v>0.0</v>
      </c>
      <c r="AB200" s="8">
        <v>0.0</v>
      </c>
      <c r="AC200" s="8">
        <v>1834611.99</v>
      </c>
      <c r="AD200" s="3" t="s">
        <v>36</v>
      </c>
      <c r="AE200" s="10"/>
      <c r="AF200" s="3">
        <v>0.0</v>
      </c>
      <c r="AG200" s="8">
        <v>12.73</v>
      </c>
      <c r="AH200" s="8">
        <v>18.58</v>
      </c>
    </row>
    <row r="201">
      <c r="A201" s="3">
        <v>200.0</v>
      </c>
      <c r="B201" s="8">
        <v>1834611.99</v>
      </c>
      <c r="C201" s="8">
        <v>1834611.99</v>
      </c>
      <c r="D201" s="8">
        <v>1190272.42</v>
      </c>
      <c r="E201" s="8">
        <v>644339.57</v>
      </c>
      <c r="F201" s="8">
        <v>0.0</v>
      </c>
      <c r="G201" s="8">
        <v>0.0</v>
      </c>
      <c r="H201" s="8">
        <v>0.0</v>
      </c>
      <c r="I201" s="8">
        <v>5.954872928E7</v>
      </c>
      <c r="J201" s="8">
        <v>5.954872928E7</v>
      </c>
      <c r="K201" s="8">
        <v>0.0</v>
      </c>
      <c r="L201" s="8">
        <v>0.0</v>
      </c>
      <c r="M201" s="8">
        <v>0.0</v>
      </c>
      <c r="N201" s="8">
        <v>0.0</v>
      </c>
      <c r="O201" s="11">
        <v>52011.0</v>
      </c>
      <c r="P201" s="10"/>
      <c r="Q201" s="8">
        <v>0.0</v>
      </c>
      <c r="R201" s="8">
        <v>1190272.42</v>
      </c>
      <c r="S201" s="8">
        <v>644339.57</v>
      </c>
      <c r="T201" s="8">
        <v>0.0</v>
      </c>
      <c r="U201" s="8">
        <v>0.0</v>
      </c>
      <c r="V201" s="8">
        <v>0.0</v>
      </c>
      <c r="W201" s="8">
        <v>0.0</v>
      </c>
      <c r="X201" s="8">
        <v>0.0</v>
      </c>
      <c r="Y201" s="8">
        <v>0.0</v>
      </c>
      <c r="Z201" s="8">
        <v>0.0</v>
      </c>
      <c r="AA201" s="8">
        <v>0.0</v>
      </c>
      <c r="AB201" s="8">
        <v>0.0</v>
      </c>
      <c r="AC201" s="8">
        <v>1834611.99</v>
      </c>
      <c r="AD201" s="3" t="s">
        <v>36</v>
      </c>
      <c r="AE201" s="10"/>
      <c r="AF201" s="3">
        <v>0.0</v>
      </c>
      <c r="AG201" s="8">
        <v>12.73</v>
      </c>
      <c r="AH201" s="8">
        <v>18.58</v>
      </c>
    </row>
    <row r="202">
      <c r="A202" s="3">
        <v>201.0</v>
      </c>
      <c r="B202" s="8">
        <v>1834611.99</v>
      </c>
      <c r="C202" s="8">
        <v>1834611.99</v>
      </c>
      <c r="D202" s="8">
        <v>1202899.23</v>
      </c>
      <c r="E202" s="8">
        <v>631712.76</v>
      </c>
      <c r="F202" s="8">
        <v>0.0</v>
      </c>
      <c r="G202" s="8">
        <v>0.0</v>
      </c>
      <c r="H202" s="8">
        <v>0.0</v>
      </c>
      <c r="I202" s="8">
        <v>5.834583005E7</v>
      </c>
      <c r="J202" s="8">
        <v>5.834583005E7</v>
      </c>
      <c r="K202" s="8">
        <v>0.0</v>
      </c>
      <c r="L202" s="8">
        <v>0.0</v>
      </c>
      <c r="M202" s="8">
        <v>0.0</v>
      </c>
      <c r="N202" s="8">
        <v>0.0</v>
      </c>
      <c r="O202" s="11">
        <v>52042.0</v>
      </c>
      <c r="P202" s="10"/>
      <c r="Q202" s="8">
        <v>0.0</v>
      </c>
      <c r="R202" s="8">
        <v>1202899.23</v>
      </c>
      <c r="S202" s="8">
        <v>631712.76</v>
      </c>
      <c r="T202" s="8">
        <v>0.0</v>
      </c>
      <c r="U202" s="8">
        <v>0.0</v>
      </c>
      <c r="V202" s="8">
        <v>0.0</v>
      </c>
      <c r="W202" s="8">
        <v>0.0</v>
      </c>
      <c r="X202" s="8">
        <v>0.0</v>
      </c>
      <c r="Y202" s="8">
        <v>0.0</v>
      </c>
      <c r="Z202" s="8">
        <v>0.0</v>
      </c>
      <c r="AA202" s="8">
        <v>0.0</v>
      </c>
      <c r="AB202" s="8">
        <v>0.0</v>
      </c>
      <c r="AC202" s="8">
        <v>1834611.99</v>
      </c>
      <c r="AD202" s="3" t="s">
        <v>36</v>
      </c>
      <c r="AE202" s="10"/>
      <c r="AF202" s="3">
        <v>0.0</v>
      </c>
      <c r="AG202" s="8">
        <v>12.73</v>
      </c>
      <c r="AH202" s="8">
        <v>18.58</v>
      </c>
    </row>
    <row r="203">
      <c r="A203" s="3">
        <v>202.0</v>
      </c>
      <c r="B203" s="8">
        <v>1834611.99</v>
      </c>
      <c r="C203" s="8">
        <v>1834611.99</v>
      </c>
      <c r="D203" s="8">
        <v>1215659.98</v>
      </c>
      <c r="E203" s="8">
        <v>618952.01</v>
      </c>
      <c r="F203" s="8">
        <v>0.0</v>
      </c>
      <c r="G203" s="8">
        <v>0.0</v>
      </c>
      <c r="H203" s="8">
        <v>0.0</v>
      </c>
      <c r="I203" s="8">
        <v>5.713017007E7</v>
      </c>
      <c r="J203" s="8">
        <v>5.713017007E7</v>
      </c>
      <c r="K203" s="8">
        <v>0.0</v>
      </c>
      <c r="L203" s="8">
        <v>0.0</v>
      </c>
      <c r="M203" s="8">
        <v>0.0</v>
      </c>
      <c r="N203" s="8">
        <v>0.0</v>
      </c>
      <c r="O203" s="11">
        <v>52072.0</v>
      </c>
      <c r="P203" s="10"/>
      <c r="Q203" s="8">
        <v>0.0</v>
      </c>
      <c r="R203" s="8">
        <v>1215659.98</v>
      </c>
      <c r="S203" s="8">
        <v>618952.01</v>
      </c>
      <c r="T203" s="8">
        <v>0.0</v>
      </c>
      <c r="U203" s="8">
        <v>0.0</v>
      </c>
      <c r="V203" s="8">
        <v>0.0</v>
      </c>
      <c r="W203" s="8">
        <v>0.0</v>
      </c>
      <c r="X203" s="8">
        <v>0.0</v>
      </c>
      <c r="Y203" s="8">
        <v>0.0</v>
      </c>
      <c r="Z203" s="8">
        <v>0.0</v>
      </c>
      <c r="AA203" s="8">
        <v>0.0</v>
      </c>
      <c r="AB203" s="8">
        <v>0.0</v>
      </c>
      <c r="AC203" s="8">
        <v>1834611.99</v>
      </c>
      <c r="AD203" s="3" t="s">
        <v>36</v>
      </c>
      <c r="AE203" s="10"/>
      <c r="AF203" s="3">
        <v>0.0</v>
      </c>
      <c r="AG203" s="8">
        <v>12.73</v>
      </c>
      <c r="AH203" s="8">
        <v>18.58</v>
      </c>
    </row>
    <row r="204">
      <c r="A204" s="3">
        <v>203.0</v>
      </c>
      <c r="B204" s="8">
        <v>1834611.99</v>
      </c>
      <c r="C204" s="8">
        <v>1834611.99</v>
      </c>
      <c r="D204" s="8">
        <v>1228556.11</v>
      </c>
      <c r="E204" s="8">
        <v>606055.88</v>
      </c>
      <c r="F204" s="8">
        <v>0.0</v>
      </c>
      <c r="G204" s="8">
        <v>0.0</v>
      </c>
      <c r="H204" s="8">
        <v>0.0</v>
      </c>
      <c r="I204" s="8">
        <v>5.590161396E7</v>
      </c>
      <c r="J204" s="8">
        <v>5.590161396E7</v>
      </c>
      <c r="K204" s="8">
        <v>0.0</v>
      </c>
      <c r="L204" s="8">
        <v>0.0</v>
      </c>
      <c r="M204" s="8">
        <v>0.0</v>
      </c>
      <c r="N204" s="8">
        <v>0.0</v>
      </c>
      <c r="O204" s="11">
        <v>52103.0</v>
      </c>
      <c r="P204" s="10"/>
      <c r="Q204" s="8">
        <v>0.0</v>
      </c>
      <c r="R204" s="8">
        <v>1228556.11</v>
      </c>
      <c r="S204" s="8">
        <v>606055.88</v>
      </c>
      <c r="T204" s="8">
        <v>0.0</v>
      </c>
      <c r="U204" s="8">
        <v>0.0</v>
      </c>
      <c r="V204" s="8">
        <v>0.0</v>
      </c>
      <c r="W204" s="8">
        <v>0.0</v>
      </c>
      <c r="X204" s="8">
        <v>0.0</v>
      </c>
      <c r="Y204" s="8">
        <v>0.0</v>
      </c>
      <c r="Z204" s="8">
        <v>0.0</v>
      </c>
      <c r="AA204" s="8">
        <v>0.0</v>
      </c>
      <c r="AB204" s="8">
        <v>0.0</v>
      </c>
      <c r="AC204" s="8">
        <v>1834611.99</v>
      </c>
      <c r="AD204" s="3" t="s">
        <v>36</v>
      </c>
      <c r="AE204" s="10"/>
      <c r="AF204" s="3">
        <v>0.0</v>
      </c>
      <c r="AG204" s="8">
        <v>12.73</v>
      </c>
      <c r="AH204" s="8">
        <v>18.58</v>
      </c>
    </row>
    <row r="205">
      <c r="A205" s="3">
        <v>204.0</v>
      </c>
      <c r="B205" s="8">
        <v>1834611.99</v>
      </c>
      <c r="C205" s="8">
        <v>1834611.99</v>
      </c>
      <c r="D205" s="8">
        <v>1241589.04</v>
      </c>
      <c r="E205" s="8">
        <v>593022.95</v>
      </c>
      <c r="F205" s="8">
        <v>0.0</v>
      </c>
      <c r="G205" s="8">
        <v>0.0</v>
      </c>
      <c r="H205" s="8">
        <v>0.0</v>
      </c>
      <c r="I205" s="8">
        <v>5.466002492E7</v>
      </c>
      <c r="J205" s="8">
        <v>5.466002492E7</v>
      </c>
      <c r="K205" s="8">
        <v>0.0</v>
      </c>
      <c r="L205" s="8">
        <v>0.0</v>
      </c>
      <c r="M205" s="8">
        <v>0.0</v>
      </c>
      <c r="N205" s="8">
        <v>0.0</v>
      </c>
      <c r="O205" s="11">
        <v>52134.0</v>
      </c>
      <c r="P205" s="10"/>
      <c r="Q205" s="8">
        <v>0.0</v>
      </c>
      <c r="R205" s="8">
        <v>1241589.04</v>
      </c>
      <c r="S205" s="8">
        <v>593022.95</v>
      </c>
      <c r="T205" s="8">
        <v>0.0</v>
      </c>
      <c r="U205" s="8">
        <v>0.0</v>
      </c>
      <c r="V205" s="8">
        <v>0.0</v>
      </c>
      <c r="W205" s="8">
        <v>0.0</v>
      </c>
      <c r="X205" s="8">
        <v>0.0</v>
      </c>
      <c r="Y205" s="8">
        <v>0.0</v>
      </c>
      <c r="Z205" s="8">
        <v>0.0</v>
      </c>
      <c r="AA205" s="8">
        <v>0.0</v>
      </c>
      <c r="AB205" s="8">
        <v>0.0</v>
      </c>
      <c r="AC205" s="8">
        <v>1834611.99</v>
      </c>
      <c r="AD205" s="3" t="s">
        <v>36</v>
      </c>
      <c r="AE205" s="10"/>
      <c r="AF205" s="3">
        <v>0.0</v>
      </c>
      <c r="AG205" s="8">
        <v>12.73</v>
      </c>
      <c r="AH205" s="8">
        <v>18.58</v>
      </c>
    </row>
    <row r="206">
      <c r="A206" s="3">
        <v>205.0</v>
      </c>
      <c r="B206" s="8">
        <v>1834611.99</v>
      </c>
      <c r="C206" s="8">
        <v>1834611.99</v>
      </c>
      <c r="D206" s="8">
        <v>1254760.23</v>
      </c>
      <c r="E206" s="8">
        <v>579851.76</v>
      </c>
      <c r="F206" s="8">
        <v>0.0</v>
      </c>
      <c r="G206" s="8">
        <v>0.0</v>
      </c>
      <c r="H206" s="8">
        <v>0.0</v>
      </c>
      <c r="I206" s="8">
        <v>5.340526469E7</v>
      </c>
      <c r="J206" s="8">
        <v>5.340526469E7</v>
      </c>
      <c r="K206" s="8">
        <v>0.0</v>
      </c>
      <c r="L206" s="8">
        <v>0.0</v>
      </c>
      <c r="M206" s="8">
        <v>0.0</v>
      </c>
      <c r="N206" s="8">
        <v>0.0</v>
      </c>
      <c r="O206" s="9">
        <v>52164.0</v>
      </c>
      <c r="P206" s="10"/>
      <c r="Q206" s="8">
        <v>0.0</v>
      </c>
      <c r="R206" s="8">
        <v>1254760.23</v>
      </c>
      <c r="S206" s="8">
        <v>579851.76</v>
      </c>
      <c r="T206" s="8">
        <v>0.0</v>
      </c>
      <c r="U206" s="8">
        <v>0.0</v>
      </c>
      <c r="V206" s="8">
        <v>0.0</v>
      </c>
      <c r="W206" s="8">
        <v>0.0</v>
      </c>
      <c r="X206" s="8">
        <v>0.0</v>
      </c>
      <c r="Y206" s="8">
        <v>0.0</v>
      </c>
      <c r="Z206" s="8">
        <v>0.0</v>
      </c>
      <c r="AA206" s="8">
        <v>0.0</v>
      </c>
      <c r="AB206" s="8">
        <v>0.0</v>
      </c>
      <c r="AC206" s="8">
        <v>1834611.99</v>
      </c>
      <c r="AD206" s="3" t="s">
        <v>36</v>
      </c>
      <c r="AE206" s="10"/>
      <c r="AF206" s="3">
        <v>0.0</v>
      </c>
      <c r="AG206" s="8">
        <v>12.73</v>
      </c>
      <c r="AH206" s="8">
        <v>18.58</v>
      </c>
    </row>
    <row r="207">
      <c r="A207" s="3">
        <v>206.0</v>
      </c>
      <c r="B207" s="8">
        <v>1834611.99</v>
      </c>
      <c r="C207" s="8">
        <v>1834611.99</v>
      </c>
      <c r="D207" s="8">
        <v>1268071.15</v>
      </c>
      <c r="E207" s="8">
        <v>566540.84</v>
      </c>
      <c r="F207" s="8">
        <v>0.0</v>
      </c>
      <c r="G207" s="8">
        <v>0.0</v>
      </c>
      <c r="H207" s="8">
        <v>0.0</v>
      </c>
      <c r="I207" s="8">
        <v>5.213719354E7</v>
      </c>
      <c r="J207" s="8">
        <v>5.213719354E7</v>
      </c>
      <c r="K207" s="8">
        <v>0.0</v>
      </c>
      <c r="L207" s="8">
        <v>0.0</v>
      </c>
      <c r="M207" s="8">
        <v>0.0</v>
      </c>
      <c r="N207" s="8">
        <v>0.0</v>
      </c>
      <c r="O207" s="9">
        <v>52195.0</v>
      </c>
      <c r="P207" s="10"/>
      <c r="Q207" s="8">
        <v>0.0</v>
      </c>
      <c r="R207" s="8">
        <v>1268071.15</v>
      </c>
      <c r="S207" s="8">
        <v>566540.84</v>
      </c>
      <c r="T207" s="8">
        <v>0.0</v>
      </c>
      <c r="U207" s="8">
        <v>0.0</v>
      </c>
      <c r="V207" s="8">
        <v>0.0</v>
      </c>
      <c r="W207" s="8">
        <v>0.0</v>
      </c>
      <c r="X207" s="8">
        <v>0.0</v>
      </c>
      <c r="Y207" s="8">
        <v>0.0</v>
      </c>
      <c r="Z207" s="8">
        <v>0.0</v>
      </c>
      <c r="AA207" s="8">
        <v>0.0</v>
      </c>
      <c r="AB207" s="8">
        <v>0.0</v>
      </c>
      <c r="AC207" s="8">
        <v>1834611.99</v>
      </c>
      <c r="AD207" s="3" t="s">
        <v>36</v>
      </c>
      <c r="AE207" s="10"/>
      <c r="AF207" s="3">
        <v>0.0</v>
      </c>
      <c r="AG207" s="8">
        <v>12.73</v>
      </c>
      <c r="AH207" s="8">
        <v>18.58</v>
      </c>
    </row>
    <row r="208">
      <c r="A208" s="3">
        <v>207.0</v>
      </c>
      <c r="B208" s="8">
        <v>1834611.99</v>
      </c>
      <c r="C208" s="8">
        <v>1834611.99</v>
      </c>
      <c r="D208" s="8">
        <v>1281523.27</v>
      </c>
      <c r="E208" s="8">
        <v>553088.72</v>
      </c>
      <c r="F208" s="8">
        <v>0.0</v>
      </c>
      <c r="G208" s="8">
        <v>0.0</v>
      </c>
      <c r="H208" s="8">
        <v>0.0</v>
      </c>
      <c r="I208" s="8">
        <v>5.085567027E7</v>
      </c>
      <c r="J208" s="8">
        <v>5.085567027E7</v>
      </c>
      <c r="K208" s="8">
        <v>0.0</v>
      </c>
      <c r="L208" s="8">
        <v>0.0</v>
      </c>
      <c r="M208" s="8">
        <v>0.0</v>
      </c>
      <c r="N208" s="8">
        <v>0.0</v>
      </c>
      <c r="O208" s="9">
        <v>52225.0</v>
      </c>
      <c r="P208" s="10"/>
      <c r="Q208" s="8">
        <v>0.0</v>
      </c>
      <c r="R208" s="8">
        <v>1281523.27</v>
      </c>
      <c r="S208" s="8">
        <v>553088.72</v>
      </c>
      <c r="T208" s="8">
        <v>0.0</v>
      </c>
      <c r="U208" s="8">
        <v>0.0</v>
      </c>
      <c r="V208" s="8">
        <v>0.0</v>
      </c>
      <c r="W208" s="8">
        <v>0.0</v>
      </c>
      <c r="X208" s="8">
        <v>0.0</v>
      </c>
      <c r="Y208" s="8">
        <v>0.0</v>
      </c>
      <c r="Z208" s="8">
        <v>0.0</v>
      </c>
      <c r="AA208" s="8">
        <v>0.0</v>
      </c>
      <c r="AB208" s="8">
        <v>0.0</v>
      </c>
      <c r="AC208" s="8">
        <v>1834611.99</v>
      </c>
      <c r="AD208" s="3" t="s">
        <v>36</v>
      </c>
      <c r="AE208" s="10"/>
      <c r="AF208" s="3">
        <v>0.0</v>
      </c>
      <c r="AG208" s="8">
        <v>12.73</v>
      </c>
      <c r="AH208" s="8">
        <v>18.58</v>
      </c>
    </row>
    <row r="209">
      <c r="A209" s="3">
        <v>208.0</v>
      </c>
      <c r="B209" s="8">
        <v>1834611.99</v>
      </c>
      <c r="C209" s="8">
        <v>1834611.99</v>
      </c>
      <c r="D209" s="8">
        <v>1295118.09</v>
      </c>
      <c r="E209" s="8">
        <v>539493.9</v>
      </c>
      <c r="F209" s="8">
        <v>0.0</v>
      </c>
      <c r="G209" s="8">
        <v>0.0</v>
      </c>
      <c r="H209" s="8">
        <v>0.0</v>
      </c>
      <c r="I209" s="8">
        <v>4.956055218E7</v>
      </c>
      <c r="J209" s="8">
        <v>4.956055218E7</v>
      </c>
      <c r="K209" s="8">
        <v>0.0</v>
      </c>
      <c r="L209" s="8">
        <v>0.0</v>
      </c>
      <c r="M209" s="8">
        <v>0.0</v>
      </c>
      <c r="N209" s="8">
        <v>0.0</v>
      </c>
      <c r="O209" s="11">
        <v>52256.0</v>
      </c>
      <c r="P209" s="10"/>
      <c r="Q209" s="8">
        <v>0.0</v>
      </c>
      <c r="R209" s="8">
        <v>1295118.09</v>
      </c>
      <c r="S209" s="8">
        <v>539493.9</v>
      </c>
      <c r="T209" s="8">
        <v>0.0</v>
      </c>
      <c r="U209" s="8">
        <v>0.0</v>
      </c>
      <c r="V209" s="8">
        <v>0.0</v>
      </c>
      <c r="W209" s="8">
        <v>0.0</v>
      </c>
      <c r="X209" s="8">
        <v>0.0</v>
      </c>
      <c r="Y209" s="8">
        <v>0.0</v>
      </c>
      <c r="Z209" s="8">
        <v>0.0</v>
      </c>
      <c r="AA209" s="8">
        <v>0.0</v>
      </c>
      <c r="AB209" s="8">
        <v>0.0</v>
      </c>
      <c r="AC209" s="8">
        <v>1834611.99</v>
      </c>
      <c r="AD209" s="3" t="s">
        <v>36</v>
      </c>
      <c r="AE209" s="10"/>
      <c r="AF209" s="3">
        <v>0.0</v>
      </c>
      <c r="AG209" s="8">
        <v>12.73</v>
      </c>
      <c r="AH209" s="8">
        <v>18.58</v>
      </c>
    </row>
    <row r="210">
      <c r="A210" s="3">
        <v>209.0</v>
      </c>
      <c r="B210" s="8">
        <v>1834611.99</v>
      </c>
      <c r="C210" s="8">
        <v>1834611.99</v>
      </c>
      <c r="D210" s="8">
        <v>1308857.14</v>
      </c>
      <c r="E210" s="8">
        <v>525754.85</v>
      </c>
      <c r="F210" s="8">
        <v>0.0</v>
      </c>
      <c r="G210" s="8">
        <v>0.0</v>
      </c>
      <c r="H210" s="8">
        <v>0.0</v>
      </c>
      <c r="I210" s="8">
        <v>4.825169504E7</v>
      </c>
      <c r="J210" s="8">
        <v>4.825169504E7</v>
      </c>
      <c r="K210" s="8">
        <v>0.0</v>
      </c>
      <c r="L210" s="8">
        <v>0.0</v>
      </c>
      <c r="M210" s="8">
        <v>0.0</v>
      </c>
      <c r="N210" s="8">
        <v>0.0</v>
      </c>
      <c r="O210" s="11">
        <v>52287.0</v>
      </c>
      <c r="P210" s="10"/>
      <c r="Q210" s="8">
        <v>0.0</v>
      </c>
      <c r="R210" s="8">
        <v>1308857.14</v>
      </c>
      <c r="S210" s="8">
        <v>525754.85</v>
      </c>
      <c r="T210" s="8">
        <v>0.0</v>
      </c>
      <c r="U210" s="8">
        <v>0.0</v>
      </c>
      <c r="V210" s="8">
        <v>0.0</v>
      </c>
      <c r="W210" s="8">
        <v>0.0</v>
      </c>
      <c r="X210" s="8">
        <v>0.0</v>
      </c>
      <c r="Y210" s="8">
        <v>0.0</v>
      </c>
      <c r="Z210" s="8">
        <v>0.0</v>
      </c>
      <c r="AA210" s="8">
        <v>0.0</v>
      </c>
      <c r="AB210" s="8">
        <v>0.0</v>
      </c>
      <c r="AC210" s="8">
        <v>1834611.99</v>
      </c>
      <c r="AD210" s="3" t="s">
        <v>36</v>
      </c>
      <c r="AE210" s="10"/>
      <c r="AF210" s="3">
        <v>0.0</v>
      </c>
      <c r="AG210" s="8">
        <v>12.73</v>
      </c>
      <c r="AH210" s="8">
        <v>18.58</v>
      </c>
    </row>
    <row r="211">
      <c r="A211" s="3">
        <v>210.0</v>
      </c>
      <c r="B211" s="8">
        <v>1834611.99</v>
      </c>
      <c r="C211" s="8">
        <v>1834611.99</v>
      </c>
      <c r="D211" s="8">
        <v>1322741.93</v>
      </c>
      <c r="E211" s="8">
        <v>511870.06</v>
      </c>
      <c r="F211" s="8">
        <v>0.0</v>
      </c>
      <c r="G211" s="8">
        <v>0.0</v>
      </c>
      <c r="H211" s="8">
        <v>0.0</v>
      </c>
      <c r="I211" s="8">
        <v>4.692895311E7</v>
      </c>
      <c r="J211" s="8">
        <v>4.692895311E7</v>
      </c>
      <c r="K211" s="8">
        <v>0.0</v>
      </c>
      <c r="L211" s="8">
        <v>0.0</v>
      </c>
      <c r="M211" s="8">
        <v>0.0</v>
      </c>
      <c r="N211" s="8">
        <v>0.0</v>
      </c>
      <c r="O211" s="11">
        <v>52315.0</v>
      </c>
      <c r="P211" s="10"/>
      <c r="Q211" s="8">
        <v>0.0</v>
      </c>
      <c r="R211" s="8">
        <v>1322741.93</v>
      </c>
      <c r="S211" s="8">
        <v>511870.06</v>
      </c>
      <c r="T211" s="8">
        <v>0.0</v>
      </c>
      <c r="U211" s="8">
        <v>0.0</v>
      </c>
      <c r="V211" s="8">
        <v>0.0</v>
      </c>
      <c r="W211" s="8">
        <v>0.0</v>
      </c>
      <c r="X211" s="8">
        <v>0.0</v>
      </c>
      <c r="Y211" s="8">
        <v>0.0</v>
      </c>
      <c r="Z211" s="8">
        <v>0.0</v>
      </c>
      <c r="AA211" s="8">
        <v>0.0</v>
      </c>
      <c r="AB211" s="8">
        <v>0.0</v>
      </c>
      <c r="AC211" s="8">
        <v>1834611.99</v>
      </c>
      <c r="AD211" s="3" t="s">
        <v>36</v>
      </c>
      <c r="AE211" s="10"/>
      <c r="AF211" s="3">
        <v>0.0</v>
      </c>
      <c r="AG211" s="8">
        <v>12.73</v>
      </c>
      <c r="AH211" s="8">
        <v>18.58</v>
      </c>
    </row>
    <row r="212">
      <c r="A212" s="3">
        <v>211.0</v>
      </c>
      <c r="B212" s="8">
        <v>1834611.99</v>
      </c>
      <c r="C212" s="8">
        <v>1834611.99</v>
      </c>
      <c r="D212" s="8">
        <v>1336774.02</v>
      </c>
      <c r="E212" s="8">
        <v>497837.97</v>
      </c>
      <c r="F212" s="8">
        <v>0.0</v>
      </c>
      <c r="G212" s="8">
        <v>0.0</v>
      </c>
      <c r="H212" s="8">
        <v>0.0</v>
      </c>
      <c r="I212" s="8">
        <v>4.559217909E7</v>
      </c>
      <c r="J212" s="8">
        <v>4.559217909E7</v>
      </c>
      <c r="K212" s="8">
        <v>0.0</v>
      </c>
      <c r="L212" s="8">
        <v>0.0</v>
      </c>
      <c r="M212" s="8">
        <v>0.0</v>
      </c>
      <c r="N212" s="8">
        <v>0.0</v>
      </c>
      <c r="O212" s="11">
        <v>52346.0</v>
      </c>
      <c r="P212" s="10"/>
      <c r="Q212" s="8">
        <v>0.0</v>
      </c>
      <c r="R212" s="8">
        <v>1336774.02</v>
      </c>
      <c r="S212" s="8">
        <v>497837.97</v>
      </c>
      <c r="T212" s="8">
        <v>0.0</v>
      </c>
      <c r="U212" s="8">
        <v>0.0</v>
      </c>
      <c r="V212" s="8">
        <v>0.0</v>
      </c>
      <c r="W212" s="8">
        <v>0.0</v>
      </c>
      <c r="X212" s="8">
        <v>0.0</v>
      </c>
      <c r="Y212" s="8">
        <v>0.0</v>
      </c>
      <c r="Z212" s="8">
        <v>0.0</v>
      </c>
      <c r="AA212" s="8">
        <v>0.0</v>
      </c>
      <c r="AB212" s="8">
        <v>0.0</v>
      </c>
      <c r="AC212" s="8">
        <v>1834611.99</v>
      </c>
      <c r="AD212" s="3" t="s">
        <v>36</v>
      </c>
      <c r="AE212" s="10"/>
      <c r="AF212" s="3">
        <v>0.0</v>
      </c>
      <c r="AG212" s="8">
        <v>12.73</v>
      </c>
      <c r="AH212" s="8">
        <v>18.58</v>
      </c>
    </row>
    <row r="213">
      <c r="A213" s="3">
        <v>212.0</v>
      </c>
      <c r="B213" s="8">
        <v>1834611.99</v>
      </c>
      <c r="C213" s="8">
        <v>1834611.99</v>
      </c>
      <c r="D213" s="8">
        <v>1350954.96</v>
      </c>
      <c r="E213" s="8">
        <v>483657.03</v>
      </c>
      <c r="F213" s="8">
        <v>0.0</v>
      </c>
      <c r="G213" s="8">
        <v>0.0</v>
      </c>
      <c r="H213" s="8">
        <v>0.0</v>
      </c>
      <c r="I213" s="8">
        <v>4.424122413E7</v>
      </c>
      <c r="J213" s="8">
        <v>4.424122413E7</v>
      </c>
      <c r="K213" s="8">
        <v>0.0</v>
      </c>
      <c r="L213" s="8">
        <v>0.0</v>
      </c>
      <c r="M213" s="8">
        <v>0.0</v>
      </c>
      <c r="N213" s="8">
        <v>0.0</v>
      </c>
      <c r="O213" s="11">
        <v>52376.0</v>
      </c>
      <c r="P213" s="10"/>
      <c r="Q213" s="8">
        <v>0.0</v>
      </c>
      <c r="R213" s="8">
        <v>1350954.96</v>
      </c>
      <c r="S213" s="8">
        <v>483657.03</v>
      </c>
      <c r="T213" s="8">
        <v>0.0</v>
      </c>
      <c r="U213" s="8">
        <v>0.0</v>
      </c>
      <c r="V213" s="8">
        <v>0.0</v>
      </c>
      <c r="W213" s="8">
        <v>0.0</v>
      </c>
      <c r="X213" s="8">
        <v>0.0</v>
      </c>
      <c r="Y213" s="8">
        <v>0.0</v>
      </c>
      <c r="Z213" s="8">
        <v>0.0</v>
      </c>
      <c r="AA213" s="8">
        <v>0.0</v>
      </c>
      <c r="AB213" s="8">
        <v>0.0</v>
      </c>
      <c r="AC213" s="8">
        <v>1834611.99</v>
      </c>
      <c r="AD213" s="3" t="s">
        <v>36</v>
      </c>
      <c r="AE213" s="10"/>
      <c r="AF213" s="3">
        <v>0.0</v>
      </c>
      <c r="AG213" s="8">
        <v>12.73</v>
      </c>
      <c r="AH213" s="8">
        <v>18.58</v>
      </c>
    </row>
    <row r="214">
      <c r="A214" s="3">
        <v>213.0</v>
      </c>
      <c r="B214" s="8">
        <v>1834611.99</v>
      </c>
      <c r="C214" s="8">
        <v>1834611.99</v>
      </c>
      <c r="D214" s="8">
        <v>1365286.34</v>
      </c>
      <c r="E214" s="8">
        <v>469325.65</v>
      </c>
      <c r="F214" s="8">
        <v>0.0</v>
      </c>
      <c r="G214" s="8">
        <v>0.0</v>
      </c>
      <c r="H214" s="8">
        <v>0.0</v>
      </c>
      <c r="I214" s="8">
        <v>4.287593779E7</v>
      </c>
      <c r="J214" s="8">
        <v>4.287593779E7</v>
      </c>
      <c r="K214" s="8">
        <v>0.0</v>
      </c>
      <c r="L214" s="8">
        <v>0.0</v>
      </c>
      <c r="M214" s="8">
        <v>0.0</v>
      </c>
      <c r="N214" s="8">
        <v>0.0</v>
      </c>
      <c r="O214" s="11">
        <v>52407.0</v>
      </c>
      <c r="P214" s="10"/>
      <c r="Q214" s="8">
        <v>0.0</v>
      </c>
      <c r="R214" s="8">
        <v>1365286.34</v>
      </c>
      <c r="S214" s="8">
        <v>469325.65</v>
      </c>
      <c r="T214" s="8">
        <v>0.0</v>
      </c>
      <c r="U214" s="8">
        <v>0.0</v>
      </c>
      <c r="V214" s="8">
        <v>0.0</v>
      </c>
      <c r="W214" s="8">
        <v>0.0</v>
      </c>
      <c r="X214" s="8">
        <v>0.0</v>
      </c>
      <c r="Y214" s="8">
        <v>0.0</v>
      </c>
      <c r="Z214" s="8">
        <v>0.0</v>
      </c>
      <c r="AA214" s="8">
        <v>0.0</v>
      </c>
      <c r="AB214" s="8">
        <v>0.0</v>
      </c>
      <c r="AC214" s="8">
        <v>1834611.99</v>
      </c>
      <c r="AD214" s="3" t="s">
        <v>36</v>
      </c>
      <c r="AE214" s="10"/>
      <c r="AF214" s="3">
        <v>0.0</v>
      </c>
      <c r="AG214" s="8">
        <v>12.73</v>
      </c>
      <c r="AH214" s="8">
        <v>18.58</v>
      </c>
    </row>
    <row r="215">
      <c r="A215" s="3">
        <v>214.0</v>
      </c>
      <c r="B215" s="8">
        <v>1834611.99</v>
      </c>
      <c r="C215" s="8">
        <v>1834611.99</v>
      </c>
      <c r="D215" s="8">
        <v>1379769.75</v>
      </c>
      <c r="E215" s="8">
        <v>454842.24</v>
      </c>
      <c r="F215" s="8">
        <v>0.0</v>
      </c>
      <c r="G215" s="8">
        <v>0.0</v>
      </c>
      <c r="H215" s="8">
        <v>0.0</v>
      </c>
      <c r="I215" s="8">
        <v>4.149616804E7</v>
      </c>
      <c r="J215" s="8">
        <v>4.149616804E7</v>
      </c>
      <c r="K215" s="8">
        <v>0.0</v>
      </c>
      <c r="L215" s="8">
        <v>0.0</v>
      </c>
      <c r="M215" s="8">
        <v>0.0</v>
      </c>
      <c r="N215" s="8">
        <v>0.0</v>
      </c>
      <c r="O215" s="11">
        <v>52437.0</v>
      </c>
      <c r="P215" s="10"/>
      <c r="Q215" s="8">
        <v>0.0</v>
      </c>
      <c r="R215" s="8">
        <v>1379769.75</v>
      </c>
      <c r="S215" s="8">
        <v>454842.24</v>
      </c>
      <c r="T215" s="8">
        <v>0.0</v>
      </c>
      <c r="U215" s="8">
        <v>0.0</v>
      </c>
      <c r="V215" s="8">
        <v>0.0</v>
      </c>
      <c r="W215" s="8">
        <v>0.0</v>
      </c>
      <c r="X215" s="8">
        <v>0.0</v>
      </c>
      <c r="Y215" s="8">
        <v>0.0</v>
      </c>
      <c r="Z215" s="8">
        <v>0.0</v>
      </c>
      <c r="AA215" s="8">
        <v>0.0</v>
      </c>
      <c r="AB215" s="8">
        <v>0.0</v>
      </c>
      <c r="AC215" s="8">
        <v>1834611.99</v>
      </c>
      <c r="AD215" s="3" t="s">
        <v>36</v>
      </c>
      <c r="AE215" s="10"/>
      <c r="AF215" s="3">
        <v>0.0</v>
      </c>
      <c r="AG215" s="8">
        <v>12.73</v>
      </c>
      <c r="AH215" s="8">
        <v>18.58</v>
      </c>
    </row>
    <row r="216">
      <c r="A216" s="3">
        <v>215.0</v>
      </c>
      <c r="B216" s="8">
        <v>1834611.99</v>
      </c>
      <c r="C216" s="8">
        <v>1834611.99</v>
      </c>
      <c r="D216" s="8">
        <v>1394406.81</v>
      </c>
      <c r="E216" s="8">
        <v>440205.18</v>
      </c>
      <c r="F216" s="8">
        <v>0.0</v>
      </c>
      <c r="G216" s="8">
        <v>0.0</v>
      </c>
      <c r="H216" s="8">
        <v>0.0</v>
      </c>
      <c r="I216" s="8">
        <v>4.010176123E7</v>
      </c>
      <c r="J216" s="8">
        <v>4.010176123E7</v>
      </c>
      <c r="K216" s="8">
        <v>0.0</v>
      </c>
      <c r="L216" s="8">
        <v>0.0</v>
      </c>
      <c r="M216" s="8">
        <v>0.0</v>
      </c>
      <c r="N216" s="8">
        <v>0.0</v>
      </c>
      <c r="O216" s="11">
        <v>52468.0</v>
      </c>
      <c r="P216" s="10"/>
      <c r="Q216" s="8">
        <v>0.0</v>
      </c>
      <c r="R216" s="8">
        <v>1394406.81</v>
      </c>
      <c r="S216" s="8">
        <v>440205.18</v>
      </c>
      <c r="T216" s="8">
        <v>0.0</v>
      </c>
      <c r="U216" s="8">
        <v>0.0</v>
      </c>
      <c r="V216" s="8">
        <v>0.0</v>
      </c>
      <c r="W216" s="8">
        <v>0.0</v>
      </c>
      <c r="X216" s="8">
        <v>0.0</v>
      </c>
      <c r="Y216" s="8">
        <v>0.0</v>
      </c>
      <c r="Z216" s="8">
        <v>0.0</v>
      </c>
      <c r="AA216" s="8">
        <v>0.0</v>
      </c>
      <c r="AB216" s="8">
        <v>0.0</v>
      </c>
      <c r="AC216" s="8">
        <v>1834611.99</v>
      </c>
      <c r="AD216" s="3" t="s">
        <v>36</v>
      </c>
      <c r="AE216" s="10"/>
      <c r="AF216" s="3">
        <v>0.0</v>
      </c>
      <c r="AG216" s="8">
        <v>12.73</v>
      </c>
      <c r="AH216" s="8">
        <v>18.58</v>
      </c>
    </row>
    <row r="217">
      <c r="A217" s="3">
        <v>216.0</v>
      </c>
      <c r="B217" s="8">
        <v>1834611.99</v>
      </c>
      <c r="C217" s="8">
        <v>1834611.99</v>
      </c>
      <c r="D217" s="8">
        <v>1409199.14</v>
      </c>
      <c r="E217" s="8">
        <v>425412.85</v>
      </c>
      <c r="F217" s="8">
        <v>0.0</v>
      </c>
      <c r="G217" s="8">
        <v>0.0</v>
      </c>
      <c r="H217" s="8">
        <v>0.0</v>
      </c>
      <c r="I217" s="8">
        <v>3.869256209E7</v>
      </c>
      <c r="J217" s="8">
        <v>3.869256209E7</v>
      </c>
      <c r="K217" s="8">
        <v>0.0</v>
      </c>
      <c r="L217" s="8">
        <v>0.0</v>
      </c>
      <c r="M217" s="8">
        <v>0.0</v>
      </c>
      <c r="N217" s="8">
        <v>0.0</v>
      </c>
      <c r="O217" s="11">
        <v>52499.0</v>
      </c>
      <c r="P217" s="10"/>
      <c r="Q217" s="8">
        <v>0.0</v>
      </c>
      <c r="R217" s="8">
        <v>1409199.14</v>
      </c>
      <c r="S217" s="8">
        <v>425412.85</v>
      </c>
      <c r="T217" s="8">
        <v>0.0</v>
      </c>
      <c r="U217" s="8">
        <v>0.0</v>
      </c>
      <c r="V217" s="8">
        <v>0.0</v>
      </c>
      <c r="W217" s="8">
        <v>0.0</v>
      </c>
      <c r="X217" s="8">
        <v>0.0</v>
      </c>
      <c r="Y217" s="8">
        <v>0.0</v>
      </c>
      <c r="Z217" s="8">
        <v>0.0</v>
      </c>
      <c r="AA217" s="8">
        <v>0.0</v>
      </c>
      <c r="AB217" s="8">
        <v>0.0</v>
      </c>
      <c r="AC217" s="8">
        <v>1834611.99</v>
      </c>
      <c r="AD217" s="3" t="s">
        <v>36</v>
      </c>
      <c r="AE217" s="10"/>
      <c r="AF217" s="3">
        <v>0.0</v>
      </c>
      <c r="AG217" s="8">
        <v>12.73</v>
      </c>
      <c r="AH217" s="8">
        <v>18.58</v>
      </c>
    </row>
    <row r="218">
      <c r="A218" s="3">
        <v>217.0</v>
      </c>
      <c r="B218" s="8">
        <v>1834611.99</v>
      </c>
      <c r="C218" s="8">
        <v>1834611.99</v>
      </c>
      <c r="D218" s="8">
        <v>1424148.4</v>
      </c>
      <c r="E218" s="8">
        <v>410463.59</v>
      </c>
      <c r="F218" s="8">
        <v>0.0</v>
      </c>
      <c r="G218" s="8">
        <v>0.0</v>
      </c>
      <c r="H218" s="8">
        <v>0.0</v>
      </c>
      <c r="I218" s="8">
        <v>3.726841369E7</v>
      </c>
      <c r="J218" s="8">
        <v>3.726841369E7</v>
      </c>
      <c r="K218" s="8">
        <v>0.0</v>
      </c>
      <c r="L218" s="8">
        <v>0.0</v>
      </c>
      <c r="M218" s="8">
        <v>0.0</v>
      </c>
      <c r="N218" s="8">
        <v>0.0</v>
      </c>
      <c r="O218" s="9">
        <v>52529.0</v>
      </c>
      <c r="P218" s="10"/>
      <c r="Q218" s="8">
        <v>0.0</v>
      </c>
      <c r="R218" s="8">
        <v>1424148.4</v>
      </c>
      <c r="S218" s="8">
        <v>410463.59</v>
      </c>
      <c r="T218" s="8">
        <v>0.0</v>
      </c>
      <c r="U218" s="8">
        <v>0.0</v>
      </c>
      <c r="V218" s="8">
        <v>0.0</v>
      </c>
      <c r="W218" s="8">
        <v>0.0</v>
      </c>
      <c r="X218" s="8">
        <v>0.0</v>
      </c>
      <c r="Y218" s="8">
        <v>0.0</v>
      </c>
      <c r="Z218" s="8">
        <v>0.0</v>
      </c>
      <c r="AA218" s="8">
        <v>0.0</v>
      </c>
      <c r="AB218" s="8">
        <v>0.0</v>
      </c>
      <c r="AC218" s="8">
        <v>1834611.99</v>
      </c>
      <c r="AD218" s="3" t="s">
        <v>36</v>
      </c>
      <c r="AE218" s="10"/>
      <c r="AF218" s="3">
        <v>0.0</v>
      </c>
      <c r="AG218" s="8">
        <v>12.73</v>
      </c>
      <c r="AH218" s="8">
        <v>18.58</v>
      </c>
    </row>
    <row r="219">
      <c r="A219" s="3">
        <v>218.0</v>
      </c>
      <c r="B219" s="8">
        <v>1834611.99</v>
      </c>
      <c r="C219" s="8">
        <v>1834611.99</v>
      </c>
      <c r="D219" s="8">
        <v>1439256.24</v>
      </c>
      <c r="E219" s="8">
        <v>395355.75</v>
      </c>
      <c r="F219" s="8">
        <v>0.0</v>
      </c>
      <c r="G219" s="8">
        <v>0.0</v>
      </c>
      <c r="H219" s="8">
        <v>0.0</v>
      </c>
      <c r="I219" s="8">
        <v>3.582915745E7</v>
      </c>
      <c r="J219" s="8">
        <v>3.582915745E7</v>
      </c>
      <c r="K219" s="8">
        <v>0.0</v>
      </c>
      <c r="L219" s="8">
        <v>0.0</v>
      </c>
      <c r="M219" s="8">
        <v>0.0</v>
      </c>
      <c r="N219" s="8">
        <v>0.0</v>
      </c>
      <c r="O219" s="9">
        <v>52560.0</v>
      </c>
      <c r="P219" s="10"/>
      <c r="Q219" s="8">
        <v>0.0</v>
      </c>
      <c r="R219" s="8">
        <v>1439256.24</v>
      </c>
      <c r="S219" s="8">
        <v>395355.75</v>
      </c>
      <c r="T219" s="8">
        <v>0.0</v>
      </c>
      <c r="U219" s="8">
        <v>0.0</v>
      </c>
      <c r="V219" s="8">
        <v>0.0</v>
      </c>
      <c r="W219" s="8">
        <v>0.0</v>
      </c>
      <c r="X219" s="8">
        <v>0.0</v>
      </c>
      <c r="Y219" s="8">
        <v>0.0</v>
      </c>
      <c r="Z219" s="8">
        <v>0.0</v>
      </c>
      <c r="AA219" s="8">
        <v>0.0</v>
      </c>
      <c r="AB219" s="8">
        <v>0.0</v>
      </c>
      <c r="AC219" s="8">
        <v>1834611.99</v>
      </c>
      <c r="AD219" s="3" t="s">
        <v>36</v>
      </c>
      <c r="AE219" s="10"/>
      <c r="AF219" s="3">
        <v>0.0</v>
      </c>
      <c r="AG219" s="8">
        <v>12.73</v>
      </c>
      <c r="AH219" s="8">
        <v>18.58</v>
      </c>
    </row>
    <row r="220">
      <c r="A220" s="3">
        <v>219.0</v>
      </c>
      <c r="B220" s="8">
        <v>1834611.99</v>
      </c>
      <c r="C220" s="8">
        <v>1834611.99</v>
      </c>
      <c r="D220" s="8">
        <v>1454524.35</v>
      </c>
      <c r="E220" s="8">
        <v>380087.64</v>
      </c>
      <c r="F220" s="8">
        <v>0.0</v>
      </c>
      <c r="G220" s="8">
        <v>0.0</v>
      </c>
      <c r="H220" s="8">
        <v>0.0</v>
      </c>
      <c r="I220" s="8">
        <v>3.43746331E7</v>
      </c>
      <c r="J220" s="8">
        <v>3.43746331E7</v>
      </c>
      <c r="K220" s="8">
        <v>0.0</v>
      </c>
      <c r="L220" s="8">
        <v>0.0</v>
      </c>
      <c r="M220" s="8">
        <v>0.0</v>
      </c>
      <c r="N220" s="8">
        <v>0.0</v>
      </c>
      <c r="O220" s="9">
        <v>52590.0</v>
      </c>
      <c r="P220" s="10"/>
      <c r="Q220" s="8">
        <v>0.0</v>
      </c>
      <c r="R220" s="8">
        <v>1454524.35</v>
      </c>
      <c r="S220" s="8">
        <v>380087.64</v>
      </c>
      <c r="T220" s="8">
        <v>0.0</v>
      </c>
      <c r="U220" s="8">
        <v>0.0</v>
      </c>
      <c r="V220" s="8">
        <v>0.0</v>
      </c>
      <c r="W220" s="8">
        <v>0.0</v>
      </c>
      <c r="X220" s="8">
        <v>0.0</v>
      </c>
      <c r="Y220" s="8">
        <v>0.0</v>
      </c>
      <c r="Z220" s="8">
        <v>0.0</v>
      </c>
      <c r="AA220" s="8">
        <v>0.0</v>
      </c>
      <c r="AB220" s="8">
        <v>0.0</v>
      </c>
      <c r="AC220" s="8">
        <v>1834611.99</v>
      </c>
      <c r="AD220" s="3" t="s">
        <v>36</v>
      </c>
      <c r="AE220" s="10"/>
      <c r="AF220" s="3">
        <v>0.0</v>
      </c>
      <c r="AG220" s="8">
        <v>12.73</v>
      </c>
      <c r="AH220" s="8">
        <v>18.58</v>
      </c>
    </row>
    <row r="221">
      <c r="A221" s="3">
        <v>220.0</v>
      </c>
      <c r="B221" s="8">
        <v>1834611.99</v>
      </c>
      <c r="C221" s="8">
        <v>1834611.99</v>
      </c>
      <c r="D221" s="8">
        <v>1469954.43</v>
      </c>
      <c r="E221" s="8">
        <v>364657.56</v>
      </c>
      <c r="F221" s="8">
        <v>0.0</v>
      </c>
      <c r="G221" s="8">
        <v>0.0</v>
      </c>
      <c r="H221" s="8">
        <v>0.0</v>
      </c>
      <c r="I221" s="8">
        <v>3.290467867E7</v>
      </c>
      <c r="J221" s="8">
        <v>3.290467867E7</v>
      </c>
      <c r="K221" s="8">
        <v>0.0</v>
      </c>
      <c r="L221" s="8">
        <v>0.0</v>
      </c>
      <c r="M221" s="8">
        <v>0.0</v>
      </c>
      <c r="N221" s="8">
        <v>0.0</v>
      </c>
      <c r="O221" s="11">
        <v>52621.0</v>
      </c>
      <c r="P221" s="10"/>
      <c r="Q221" s="8">
        <v>0.0</v>
      </c>
      <c r="R221" s="8">
        <v>1469954.43</v>
      </c>
      <c r="S221" s="8">
        <v>364657.56</v>
      </c>
      <c r="T221" s="8">
        <v>0.0</v>
      </c>
      <c r="U221" s="8">
        <v>0.0</v>
      </c>
      <c r="V221" s="8">
        <v>0.0</v>
      </c>
      <c r="W221" s="8">
        <v>0.0</v>
      </c>
      <c r="X221" s="8">
        <v>0.0</v>
      </c>
      <c r="Y221" s="8">
        <v>0.0</v>
      </c>
      <c r="Z221" s="8">
        <v>0.0</v>
      </c>
      <c r="AA221" s="8">
        <v>0.0</v>
      </c>
      <c r="AB221" s="8">
        <v>0.0</v>
      </c>
      <c r="AC221" s="8">
        <v>1834611.99</v>
      </c>
      <c r="AD221" s="3" t="s">
        <v>36</v>
      </c>
      <c r="AE221" s="10"/>
      <c r="AF221" s="3">
        <v>0.0</v>
      </c>
      <c r="AG221" s="8">
        <v>12.73</v>
      </c>
      <c r="AH221" s="8">
        <v>18.58</v>
      </c>
    </row>
    <row r="222">
      <c r="A222" s="3">
        <v>221.0</v>
      </c>
      <c r="B222" s="8">
        <v>1834611.99</v>
      </c>
      <c r="C222" s="8">
        <v>1834611.99</v>
      </c>
      <c r="D222" s="8">
        <v>1485548.2</v>
      </c>
      <c r="E222" s="8">
        <v>349063.79</v>
      </c>
      <c r="F222" s="8">
        <v>0.0</v>
      </c>
      <c r="G222" s="8">
        <v>0.0</v>
      </c>
      <c r="H222" s="8">
        <v>0.0</v>
      </c>
      <c r="I222" s="8">
        <v>3.141913047E7</v>
      </c>
      <c r="J222" s="8">
        <v>3.141913047E7</v>
      </c>
      <c r="K222" s="8">
        <v>0.0</v>
      </c>
      <c r="L222" s="8">
        <v>0.0</v>
      </c>
      <c r="M222" s="8">
        <v>0.0</v>
      </c>
      <c r="N222" s="8">
        <v>0.0</v>
      </c>
      <c r="O222" s="11">
        <v>52652.0</v>
      </c>
      <c r="P222" s="10"/>
      <c r="Q222" s="8">
        <v>0.0</v>
      </c>
      <c r="R222" s="8">
        <v>1485548.2</v>
      </c>
      <c r="S222" s="8">
        <v>349063.79</v>
      </c>
      <c r="T222" s="8">
        <v>0.0</v>
      </c>
      <c r="U222" s="8">
        <v>0.0</v>
      </c>
      <c r="V222" s="8">
        <v>0.0</v>
      </c>
      <c r="W222" s="8">
        <v>0.0</v>
      </c>
      <c r="X222" s="8">
        <v>0.0</v>
      </c>
      <c r="Y222" s="8">
        <v>0.0</v>
      </c>
      <c r="Z222" s="8">
        <v>0.0</v>
      </c>
      <c r="AA222" s="8">
        <v>0.0</v>
      </c>
      <c r="AB222" s="8">
        <v>0.0</v>
      </c>
      <c r="AC222" s="8">
        <v>1834611.99</v>
      </c>
      <c r="AD222" s="3" t="s">
        <v>36</v>
      </c>
      <c r="AE222" s="10"/>
      <c r="AF222" s="3">
        <v>0.0</v>
      </c>
      <c r="AG222" s="8">
        <v>12.73</v>
      </c>
      <c r="AH222" s="8">
        <v>18.58</v>
      </c>
    </row>
    <row r="223">
      <c r="A223" s="3">
        <v>222.0</v>
      </c>
      <c r="B223" s="8">
        <v>1834611.99</v>
      </c>
      <c r="C223" s="8">
        <v>1834611.99</v>
      </c>
      <c r="D223" s="8">
        <v>1501307.39</v>
      </c>
      <c r="E223" s="8">
        <v>333304.6</v>
      </c>
      <c r="F223" s="8">
        <v>0.0</v>
      </c>
      <c r="G223" s="8">
        <v>0.0</v>
      </c>
      <c r="H223" s="8">
        <v>0.0</v>
      </c>
      <c r="I223" s="8">
        <v>2.991782308E7</v>
      </c>
      <c r="J223" s="8">
        <v>2.991782308E7</v>
      </c>
      <c r="K223" s="8">
        <v>0.0</v>
      </c>
      <c r="L223" s="8">
        <v>0.0</v>
      </c>
      <c r="M223" s="8">
        <v>0.0</v>
      </c>
      <c r="N223" s="8">
        <v>0.0</v>
      </c>
      <c r="O223" s="11">
        <v>52681.0</v>
      </c>
      <c r="P223" s="10"/>
      <c r="Q223" s="8">
        <v>0.0</v>
      </c>
      <c r="R223" s="8">
        <v>1501307.39</v>
      </c>
      <c r="S223" s="8">
        <v>333304.6</v>
      </c>
      <c r="T223" s="8">
        <v>0.0</v>
      </c>
      <c r="U223" s="8">
        <v>0.0</v>
      </c>
      <c r="V223" s="8">
        <v>0.0</v>
      </c>
      <c r="W223" s="8">
        <v>0.0</v>
      </c>
      <c r="X223" s="8">
        <v>0.0</v>
      </c>
      <c r="Y223" s="8">
        <v>0.0</v>
      </c>
      <c r="Z223" s="8">
        <v>0.0</v>
      </c>
      <c r="AA223" s="8">
        <v>0.0</v>
      </c>
      <c r="AB223" s="8">
        <v>0.0</v>
      </c>
      <c r="AC223" s="8">
        <v>1834611.99</v>
      </c>
      <c r="AD223" s="3" t="s">
        <v>36</v>
      </c>
      <c r="AE223" s="10"/>
      <c r="AF223" s="3">
        <v>0.0</v>
      </c>
      <c r="AG223" s="8">
        <v>12.73</v>
      </c>
      <c r="AH223" s="8">
        <v>18.58</v>
      </c>
    </row>
    <row r="224">
      <c r="A224" s="3">
        <v>223.0</v>
      </c>
      <c r="B224" s="8">
        <v>1834611.99</v>
      </c>
      <c r="C224" s="8">
        <v>1834611.99</v>
      </c>
      <c r="D224" s="8">
        <v>1517233.76</v>
      </c>
      <c r="E224" s="8">
        <v>317378.23</v>
      </c>
      <c r="F224" s="8">
        <v>0.0</v>
      </c>
      <c r="G224" s="8">
        <v>0.0</v>
      </c>
      <c r="H224" s="8">
        <v>0.0</v>
      </c>
      <c r="I224" s="8">
        <v>2.840058932E7</v>
      </c>
      <c r="J224" s="8">
        <v>2.840058932E7</v>
      </c>
      <c r="K224" s="8">
        <v>0.0</v>
      </c>
      <c r="L224" s="8">
        <v>0.0</v>
      </c>
      <c r="M224" s="8">
        <v>0.0</v>
      </c>
      <c r="N224" s="8">
        <v>0.0</v>
      </c>
      <c r="O224" s="11">
        <v>52712.0</v>
      </c>
      <c r="P224" s="10"/>
      <c r="Q224" s="8">
        <v>0.0</v>
      </c>
      <c r="R224" s="8">
        <v>1517233.76</v>
      </c>
      <c r="S224" s="8">
        <v>317378.23</v>
      </c>
      <c r="T224" s="8">
        <v>0.0</v>
      </c>
      <c r="U224" s="8">
        <v>0.0</v>
      </c>
      <c r="V224" s="8">
        <v>0.0</v>
      </c>
      <c r="W224" s="8">
        <v>0.0</v>
      </c>
      <c r="X224" s="8">
        <v>0.0</v>
      </c>
      <c r="Y224" s="8">
        <v>0.0</v>
      </c>
      <c r="Z224" s="8">
        <v>0.0</v>
      </c>
      <c r="AA224" s="8">
        <v>0.0</v>
      </c>
      <c r="AB224" s="8">
        <v>0.0</v>
      </c>
      <c r="AC224" s="8">
        <v>1834611.99</v>
      </c>
      <c r="AD224" s="3" t="s">
        <v>36</v>
      </c>
      <c r="AE224" s="10"/>
      <c r="AF224" s="3">
        <v>0.0</v>
      </c>
      <c r="AG224" s="8">
        <v>12.73</v>
      </c>
      <c r="AH224" s="8">
        <v>18.58</v>
      </c>
    </row>
    <row r="225">
      <c r="A225" s="3">
        <v>224.0</v>
      </c>
      <c r="B225" s="8">
        <v>1834611.99</v>
      </c>
      <c r="C225" s="8">
        <v>1834611.99</v>
      </c>
      <c r="D225" s="8">
        <v>1533329.08</v>
      </c>
      <c r="E225" s="8">
        <v>301282.91</v>
      </c>
      <c r="F225" s="8">
        <v>0.0</v>
      </c>
      <c r="G225" s="8">
        <v>0.0</v>
      </c>
      <c r="H225" s="8">
        <v>0.0</v>
      </c>
      <c r="I225" s="8">
        <v>2.686726024E7</v>
      </c>
      <c r="J225" s="8">
        <v>2.686726024E7</v>
      </c>
      <c r="K225" s="8">
        <v>0.0</v>
      </c>
      <c r="L225" s="8">
        <v>0.0</v>
      </c>
      <c r="M225" s="8">
        <v>0.0</v>
      </c>
      <c r="N225" s="8">
        <v>0.0</v>
      </c>
      <c r="O225" s="11">
        <v>52742.0</v>
      </c>
      <c r="P225" s="10"/>
      <c r="Q225" s="8">
        <v>0.0</v>
      </c>
      <c r="R225" s="8">
        <v>1533329.08</v>
      </c>
      <c r="S225" s="8">
        <v>301282.91</v>
      </c>
      <c r="T225" s="8">
        <v>0.0</v>
      </c>
      <c r="U225" s="8">
        <v>0.0</v>
      </c>
      <c r="V225" s="8">
        <v>0.0</v>
      </c>
      <c r="W225" s="8">
        <v>0.0</v>
      </c>
      <c r="X225" s="8">
        <v>0.0</v>
      </c>
      <c r="Y225" s="8">
        <v>0.0</v>
      </c>
      <c r="Z225" s="8">
        <v>0.0</v>
      </c>
      <c r="AA225" s="8">
        <v>0.0</v>
      </c>
      <c r="AB225" s="8">
        <v>0.0</v>
      </c>
      <c r="AC225" s="8">
        <v>1834611.99</v>
      </c>
      <c r="AD225" s="3" t="s">
        <v>36</v>
      </c>
      <c r="AE225" s="10"/>
      <c r="AF225" s="3">
        <v>0.0</v>
      </c>
      <c r="AG225" s="8">
        <v>12.73</v>
      </c>
      <c r="AH225" s="8">
        <v>18.58</v>
      </c>
    </row>
    <row r="226">
      <c r="A226" s="3">
        <v>225.0</v>
      </c>
      <c r="B226" s="8">
        <v>1834611.99</v>
      </c>
      <c r="C226" s="8">
        <v>1834611.99</v>
      </c>
      <c r="D226" s="8">
        <v>1549595.14</v>
      </c>
      <c r="E226" s="8">
        <v>285016.85</v>
      </c>
      <c r="F226" s="8">
        <v>0.0</v>
      </c>
      <c r="G226" s="8">
        <v>0.0</v>
      </c>
      <c r="H226" s="8">
        <v>0.0</v>
      </c>
      <c r="I226" s="8">
        <v>2.53176651E7</v>
      </c>
      <c r="J226" s="8">
        <v>2.53176651E7</v>
      </c>
      <c r="K226" s="8">
        <v>0.0</v>
      </c>
      <c r="L226" s="8">
        <v>0.0</v>
      </c>
      <c r="M226" s="8">
        <v>0.0</v>
      </c>
      <c r="N226" s="8">
        <v>0.0</v>
      </c>
      <c r="O226" s="11">
        <v>52773.0</v>
      </c>
      <c r="P226" s="10"/>
      <c r="Q226" s="8">
        <v>0.0</v>
      </c>
      <c r="R226" s="8">
        <v>1549595.14</v>
      </c>
      <c r="S226" s="8">
        <v>285016.85</v>
      </c>
      <c r="T226" s="8">
        <v>0.0</v>
      </c>
      <c r="U226" s="8">
        <v>0.0</v>
      </c>
      <c r="V226" s="8">
        <v>0.0</v>
      </c>
      <c r="W226" s="8">
        <v>0.0</v>
      </c>
      <c r="X226" s="8">
        <v>0.0</v>
      </c>
      <c r="Y226" s="8">
        <v>0.0</v>
      </c>
      <c r="Z226" s="8">
        <v>0.0</v>
      </c>
      <c r="AA226" s="8">
        <v>0.0</v>
      </c>
      <c r="AB226" s="8">
        <v>0.0</v>
      </c>
      <c r="AC226" s="8">
        <v>1834611.99</v>
      </c>
      <c r="AD226" s="3" t="s">
        <v>36</v>
      </c>
      <c r="AE226" s="10"/>
      <c r="AF226" s="3">
        <v>0.0</v>
      </c>
      <c r="AG226" s="8">
        <v>12.73</v>
      </c>
      <c r="AH226" s="8">
        <v>18.58</v>
      </c>
    </row>
    <row r="227">
      <c r="A227" s="3">
        <v>226.0</v>
      </c>
      <c r="B227" s="8">
        <v>1834611.99</v>
      </c>
      <c r="C227" s="8">
        <v>1834611.99</v>
      </c>
      <c r="D227" s="8">
        <v>1566033.76</v>
      </c>
      <c r="E227" s="8">
        <v>268578.23</v>
      </c>
      <c r="F227" s="8">
        <v>0.0</v>
      </c>
      <c r="G227" s="8">
        <v>0.0</v>
      </c>
      <c r="H227" s="8">
        <v>0.0</v>
      </c>
      <c r="I227" s="8">
        <v>2.375163134E7</v>
      </c>
      <c r="J227" s="8">
        <v>2.375163134E7</v>
      </c>
      <c r="K227" s="8">
        <v>0.0</v>
      </c>
      <c r="L227" s="8">
        <v>0.0</v>
      </c>
      <c r="M227" s="8">
        <v>0.0</v>
      </c>
      <c r="N227" s="8">
        <v>0.0</v>
      </c>
      <c r="O227" s="11">
        <v>52803.0</v>
      </c>
      <c r="P227" s="10"/>
      <c r="Q227" s="8">
        <v>0.0</v>
      </c>
      <c r="R227" s="8">
        <v>1566033.76</v>
      </c>
      <c r="S227" s="8">
        <v>268578.23</v>
      </c>
      <c r="T227" s="8">
        <v>0.0</v>
      </c>
      <c r="U227" s="8">
        <v>0.0</v>
      </c>
      <c r="V227" s="8">
        <v>0.0</v>
      </c>
      <c r="W227" s="8">
        <v>0.0</v>
      </c>
      <c r="X227" s="8">
        <v>0.0</v>
      </c>
      <c r="Y227" s="8">
        <v>0.0</v>
      </c>
      <c r="Z227" s="8">
        <v>0.0</v>
      </c>
      <c r="AA227" s="8">
        <v>0.0</v>
      </c>
      <c r="AB227" s="8">
        <v>0.0</v>
      </c>
      <c r="AC227" s="8">
        <v>1834611.99</v>
      </c>
      <c r="AD227" s="3" t="s">
        <v>36</v>
      </c>
      <c r="AE227" s="10"/>
      <c r="AF227" s="3">
        <v>0.0</v>
      </c>
      <c r="AG227" s="8">
        <v>12.73</v>
      </c>
      <c r="AH227" s="8">
        <v>18.58</v>
      </c>
    </row>
    <row r="228">
      <c r="A228" s="3">
        <v>227.0</v>
      </c>
      <c r="B228" s="8">
        <v>1834611.99</v>
      </c>
      <c r="C228" s="8">
        <v>1834611.99</v>
      </c>
      <c r="D228" s="8">
        <v>1582646.77</v>
      </c>
      <c r="E228" s="8">
        <v>251965.22</v>
      </c>
      <c r="F228" s="8">
        <v>0.0</v>
      </c>
      <c r="G228" s="8">
        <v>0.0</v>
      </c>
      <c r="H228" s="8">
        <v>0.0</v>
      </c>
      <c r="I228" s="8">
        <v>2.216898457E7</v>
      </c>
      <c r="J228" s="8">
        <v>2.216898457E7</v>
      </c>
      <c r="K228" s="8">
        <v>0.0</v>
      </c>
      <c r="L228" s="8">
        <v>0.0</v>
      </c>
      <c r="M228" s="8">
        <v>0.0</v>
      </c>
      <c r="N228" s="8">
        <v>0.0</v>
      </c>
      <c r="O228" s="11">
        <v>52834.0</v>
      </c>
      <c r="P228" s="10"/>
      <c r="Q228" s="8">
        <v>0.0</v>
      </c>
      <c r="R228" s="8">
        <v>1582646.77</v>
      </c>
      <c r="S228" s="8">
        <v>251965.22</v>
      </c>
      <c r="T228" s="8">
        <v>0.0</v>
      </c>
      <c r="U228" s="8">
        <v>0.0</v>
      </c>
      <c r="V228" s="8">
        <v>0.0</v>
      </c>
      <c r="W228" s="8">
        <v>0.0</v>
      </c>
      <c r="X228" s="8">
        <v>0.0</v>
      </c>
      <c r="Y228" s="8">
        <v>0.0</v>
      </c>
      <c r="Z228" s="8">
        <v>0.0</v>
      </c>
      <c r="AA228" s="8">
        <v>0.0</v>
      </c>
      <c r="AB228" s="8">
        <v>0.0</v>
      </c>
      <c r="AC228" s="8">
        <v>1834611.99</v>
      </c>
      <c r="AD228" s="3" t="s">
        <v>36</v>
      </c>
      <c r="AE228" s="10"/>
      <c r="AF228" s="3">
        <v>0.0</v>
      </c>
      <c r="AG228" s="8">
        <v>12.73</v>
      </c>
      <c r="AH228" s="8">
        <v>18.58</v>
      </c>
    </row>
    <row r="229">
      <c r="A229" s="3">
        <v>228.0</v>
      </c>
      <c r="B229" s="8">
        <v>1834611.99</v>
      </c>
      <c r="C229" s="8">
        <v>1834611.99</v>
      </c>
      <c r="D229" s="8">
        <v>1599436.02</v>
      </c>
      <c r="E229" s="8">
        <v>235175.97</v>
      </c>
      <c r="F229" s="8">
        <v>0.0</v>
      </c>
      <c r="G229" s="8">
        <v>0.0</v>
      </c>
      <c r="H229" s="8">
        <v>0.0</v>
      </c>
      <c r="I229" s="8">
        <v>2.056954855E7</v>
      </c>
      <c r="J229" s="8">
        <v>2.056954855E7</v>
      </c>
      <c r="K229" s="8">
        <v>0.0</v>
      </c>
      <c r="L229" s="8">
        <v>0.0</v>
      </c>
      <c r="M229" s="8">
        <v>0.0</v>
      </c>
      <c r="N229" s="8">
        <v>0.0</v>
      </c>
      <c r="O229" s="11">
        <v>52865.0</v>
      </c>
      <c r="P229" s="10"/>
      <c r="Q229" s="8">
        <v>0.0</v>
      </c>
      <c r="R229" s="8">
        <v>1599436.02</v>
      </c>
      <c r="S229" s="8">
        <v>235175.97</v>
      </c>
      <c r="T229" s="8">
        <v>0.0</v>
      </c>
      <c r="U229" s="8">
        <v>0.0</v>
      </c>
      <c r="V229" s="8">
        <v>0.0</v>
      </c>
      <c r="W229" s="8">
        <v>0.0</v>
      </c>
      <c r="X229" s="8">
        <v>0.0</v>
      </c>
      <c r="Y229" s="8">
        <v>0.0</v>
      </c>
      <c r="Z229" s="8">
        <v>0.0</v>
      </c>
      <c r="AA229" s="8">
        <v>0.0</v>
      </c>
      <c r="AB229" s="8">
        <v>0.0</v>
      </c>
      <c r="AC229" s="8">
        <v>1834611.99</v>
      </c>
      <c r="AD229" s="3" t="s">
        <v>36</v>
      </c>
      <c r="AE229" s="10"/>
      <c r="AF229" s="3">
        <v>0.0</v>
      </c>
      <c r="AG229" s="8">
        <v>12.73</v>
      </c>
      <c r="AH229" s="8">
        <v>18.58</v>
      </c>
    </row>
    <row r="230">
      <c r="A230" s="3">
        <v>229.0</v>
      </c>
      <c r="B230" s="8">
        <v>1834611.99</v>
      </c>
      <c r="C230" s="8">
        <v>1834611.99</v>
      </c>
      <c r="D230" s="8">
        <v>1616403.37</v>
      </c>
      <c r="E230" s="8">
        <v>218208.62</v>
      </c>
      <c r="F230" s="8">
        <v>0.0</v>
      </c>
      <c r="G230" s="8">
        <v>0.0</v>
      </c>
      <c r="H230" s="8">
        <v>0.0</v>
      </c>
      <c r="I230" s="8">
        <v>1.895314518E7</v>
      </c>
      <c r="J230" s="8">
        <v>1.895314518E7</v>
      </c>
      <c r="K230" s="8">
        <v>0.0</v>
      </c>
      <c r="L230" s="8">
        <v>0.0</v>
      </c>
      <c r="M230" s="8">
        <v>0.0</v>
      </c>
      <c r="N230" s="8">
        <v>0.0</v>
      </c>
      <c r="O230" s="9">
        <v>52895.0</v>
      </c>
      <c r="P230" s="10"/>
      <c r="Q230" s="8">
        <v>0.0</v>
      </c>
      <c r="R230" s="8">
        <v>1616403.37</v>
      </c>
      <c r="S230" s="8">
        <v>218208.62</v>
      </c>
      <c r="T230" s="8">
        <v>0.0</v>
      </c>
      <c r="U230" s="8">
        <v>0.0</v>
      </c>
      <c r="V230" s="8">
        <v>0.0</v>
      </c>
      <c r="W230" s="8">
        <v>0.0</v>
      </c>
      <c r="X230" s="8">
        <v>0.0</v>
      </c>
      <c r="Y230" s="8">
        <v>0.0</v>
      </c>
      <c r="Z230" s="8">
        <v>0.0</v>
      </c>
      <c r="AA230" s="8">
        <v>0.0</v>
      </c>
      <c r="AB230" s="8">
        <v>0.0</v>
      </c>
      <c r="AC230" s="8">
        <v>1834611.99</v>
      </c>
      <c r="AD230" s="3" t="s">
        <v>36</v>
      </c>
      <c r="AE230" s="10"/>
      <c r="AF230" s="3">
        <v>0.0</v>
      </c>
      <c r="AG230" s="8">
        <v>12.73</v>
      </c>
      <c r="AH230" s="8">
        <v>18.58</v>
      </c>
    </row>
    <row r="231">
      <c r="A231" s="3">
        <v>230.0</v>
      </c>
      <c r="B231" s="8">
        <v>1834611.99</v>
      </c>
      <c r="C231" s="8">
        <v>1834611.99</v>
      </c>
      <c r="D231" s="8">
        <v>1633550.71</v>
      </c>
      <c r="E231" s="8">
        <v>201061.28</v>
      </c>
      <c r="F231" s="8">
        <v>0.0</v>
      </c>
      <c r="G231" s="8">
        <v>0.0</v>
      </c>
      <c r="H231" s="8">
        <v>0.0</v>
      </c>
      <c r="I231" s="8">
        <v>1.731959447E7</v>
      </c>
      <c r="J231" s="8">
        <v>1.731959447E7</v>
      </c>
      <c r="K231" s="8">
        <v>0.0</v>
      </c>
      <c r="L231" s="8">
        <v>0.0</v>
      </c>
      <c r="M231" s="8">
        <v>0.0</v>
      </c>
      <c r="N231" s="8">
        <v>0.0</v>
      </c>
      <c r="O231" s="9">
        <v>52926.0</v>
      </c>
      <c r="P231" s="10"/>
      <c r="Q231" s="8">
        <v>0.0</v>
      </c>
      <c r="R231" s="8">
        <v>1633550.71</v>
      </c>
      <c r="S231" s="8">
        <v>201061.28</v>
      </c>
      <c r="T231" s="8">
        <v>0.0</v>
      </c>
      <c r="U231" s="8">
        <v>0.0</v>
      </c>
      <c r="V231" s="8">
        <v>0.0</v>
      </c>
      <c r="W231" s="8">
        <v>0.0</v>
      </c>
      <c r="X231" s="8">
        <v>0.0</v>
      </c>
      <c r="Y231" s="8">
        <v>0.0</v>
      </c>
      <c r="Z231" s="8">
        <v>0.0</v>
      </c>
      <c r="AA231" s="8">
        <v>0.0</v>
      </c>
      <c r="AB231" s="8">
        <v>0.0</v>
      </c>
      <c r="AC231" s="8">
        <v>1834611.99</v>
      </c>
      <c r="AD231" s="3" t="s">
        <v>36</v>
      </c>
      <c r="AE231" s="10"/>
      <c r="AF231" s="3">
        <v>0.0</v>
      </c>
      <c r="AG231" s="8">
        <v>12.73</v>
      </c>
      <c r="AH231" s="8">
        <v>18.58</v>
      </c>
    </row>
    <row r="232">
      <c r="A232" s="3">
        <v>231.0</v>
      </c>
      <c r="B232" s="8">
        <v>1834611.99</v>
      </c>
      <c r="C232" s="8">
        <v>1834611.99</v>
      </c>
      <c r="D232" s="8">
        <v>1650879.96</v>
      </c>
      <c r="E232" s="8">
        <v>183732.03</v>
      </c>
      <c r="F232" s="8">
        <v>0.0</v>
      </c>
      <c r="G232" s="8">
        <v>0.0</v>
      </c>
      <c r="H232" s="8">
        <v>0.0</v>
      </c>
      <c r="I232" s="8">
        <v>1.566871451E7</v>
      </c>
      <c r="J232" s="8">
        <v>1.566871451E7</v>
      </c>
      <c r="K232" s="8">
        <v>0.0</v>
      </c>
      <c r="L232" s="8">
        <v>0.0</v>
      </c>
      <c r="M232" s="8">
        <v>0.0</v>
      </c>
      <c r="N232" s="8">
        <v>0.0</v>
      </c>
      <c r="O232" s="9">
        <v>52956.0</v>
      </c>
      <c r="P232" s="10"/>
      <c r="Q232" s="8">
        <v>0.0</v>
      </c>
      <c r="R232" s="8">
        <v>1650879.96</v>
      </c>
      <c r="S232" s="8">
        <v>183732.03</v>
      </c>
      <c r="T232" s="8">
        <v>0.0</v>
      </c>
      <c r="U232" s="8">
        <v>0.0</v>
      </c>
      <c r="V232" s="8">
        <v>0.0</v>
      </c>
      <c r="W232" s="8">
        <v>0.0</v>
      </c>
      <c r="X232" s="8">
        <v>0.0</v>
      </c>
      <c r="Y232" s="8">
        <v>0.0</v>
      </c>
      <c r="Z232" s="8">
        <v>0.0</v>
      </c>
      <c r="AA232" s="8">
        <v>0.0</v>
      </c>
      <c r="AB232" s="8">
        <v>0.0</v>
      </c>
      <c r="AC232" s="8">
        <v>1834611.99</v>
      </c>
      <c r="AD232" s="3" t="s">
        <v>36</v>
      </c>
      <c r="AE232" s="10"/>
      <c r="AF232" s="3">
        <v>0.0</v>
      </c>
      <c r="AG232" s="8">
        <v>12.73</v>
      </c>
      <c r="AH232" s="8">
        <v>18.58</v>
      </c>
    </row>
    <row r="233">
      <c r="A233" s="3">
        <v>232.0</v>
      </c>
      <c r="B233" s="8">
        <v>1834611.99</v>
      </c>
      <c r="C233" s="8">
        <v>1834611.99</v>
      </c>
      <c r="D233" s="8">
        <v>1668393.05</v>
      </c>
      <c r="E233" s="8">
        <v>166218.94</v>
      </c>
      <c r="F233" s="8">
        <v>0.0</v>
      </c>
      <c r="G233" s="8">
        <v>0.0</v>
      </c>
      <c r="H233" s="8">
        <v>0.0</v>
      </c>
      <c r="I233" s="8">
        <v>1.400032146E7</v>
      </c>
      <c r="J233" s="8">
        <v>1.400032146E7</v>
      </c>
      <c r="K233" s="8">
        <v>0.0</v>
      </c>
      <c r="L233" s="8">
        <v>0.0</v>
      </c>
      <c r="M233" s="8">
        <v>0.0</v>
      </c>
      <c r="N233" s="8">
        <v>0.0</v>
      </c>
      <c r="O233" s="11">
        <v>52987.0</v>
      </c>
      <c r="P233" s="10"/>
      <c r="Q233" s="8">
        <v>0.0</v>
      </c>
      <c r="R233" s="8">
        <v>1668393.05</v>
      </c>
      <c r="S233" s="8">
        <v>166218.94</v>
      </c>
      <c r="T233" s="8">
        <v>0.0</v>
      </c>
      <c r="U233" s="8">
        <v>0.0</v>
      </c>
      <c r="V233" s="8">
        <v>0.0</v>
      </c>
      <c r="W233" s="8">
        <v>0.0</v>
      </c>
      <c r="X233" s="8">
        <v>0.0</v>
      </c>
      <c r="Y233" s="8">
        <v>0.0</v>
      </c>
      <c r="Z233" s="8">
        <v>0.0</v>
      </c>
      <c r="AA233" s="8">
        <v>0.0</v>
      </c>
      <c r="AB233" s="8">
        <v>0.0</v>
      </c>
      <c r="AC233" s="8">
        <v>1834611.99</v>
      </c>
      <c r="AD233" s="3" t="s">
        <v>36</v>
      </c>
      <c r="AE233" s="10"/>
      <c r="AF233" s="3">
        <v>0.0</v>
      </c>
      <c r="AG233" s="8">
        <v>12.73</v>
      </c>
      <c r="AH233" s="8">
        <v>18.58</v>
      </c>
    </row>
    <row r="234">
      <c r="A234" s="3">
        <v>233.0</v>
      </c>
      <c r="B234" s="8">
        <v>1834611.99</v>
      </c>
      <c r="C234" s="8">
        <v>1834611.99</v>
      </c>
      <c r="D234" s="8">
        <v>1686091.92</v>
      </c>
      <c r="E234" s="8">
        <v>148520.07</v>
      </c>
      <c r="F234" s="8">
        <v>0.0</v>
      </c>
      <c r="G234" s="8">
        <v>0.0</v>
      </c>
      <c r="H234" s="8">
        <v>0.0</v>
      </c>
      <c r="I234" s="8">
        <v>1.231422954E7</v>
      </c>
      <c r="J234" s="8">
        <v>1.231422954E7</v>
      </c>
      <c r="K234" s="8">
        <v>0.0</v>
      </c>
      <c r="L234" s="8">
        <v>0.0</v>
      </c>
      <c r="M234" s="8">
        <v>0.0</v>
      </c>
      <c r="N234" s="8">
        <v>0.0</v>
      </c>
      <c r="O234" s="11">
        <v>53018.0</v>
      </c>
      <c r="P234" s="10"/>
      <c r="Q234" s="8">
        <v>0.0</v>
      </c>
      <c r="R234" s="8">
        <v>1686091.92</v>
      </c>
      <c r="S234" s="8">
        <v>148520.07</v>
      </c>
      <c r="T234" s="8">
        <v>0.0</v>
      </c>
      <c r="U234" s="8">
        <v>0.0</v>
      </c>
      <c r="V234" s="8">
        <v>0.0</v>
      </c>
      <c r="W234" s="8">
        <v>0.0</v>
      </c>
      <c r="X234" s="8">
        <v>0.0</v>
      </c>
      <c r="Y234" s="8">
        <v>0.0</v>
      </c>
      <c r="Z234" s="8">
        <v>0.0</v>
      </c>
      <c r="AA234" s="8">
        <v>0.0</v>
      </c>
      <c r="AB234" s="8">
        <v>0.0</v>
      </c>
      <c r="AC234" s="8">
        <v>1834611.99</v>
      </c>
      <c r="AD234" s="3" t="s">
        <v>36</v>
      </c>
      <c r="AE234" s="10"/>
      <c r="AF234" s="3">
        <v>0.0</v>
      </c>
      <c r="AG234" s="8">
        <v>12.73</v>
      </c>
      <c r="AH234" s="8">
        <v>18.58</v>
      </c>
    </row>
    <row r="235">
      <c r="A235" s="3">
        <v>234.0</v>
      </c>
      <c r="B235" s="8">
        <v>1834611.99</v>
      </c>
      <c r="C235" s="8">
        <v>1834611.99</v>
      </c>
      <c r="D235" s="8">
        <v>1703978.54</v>
      </c>
      <c r="E235" s="8">
        <v>130633.45</v>
      </c>
      <c r="F235" s="8">
        <v>0.0</v>
      </c>
      <c r="G235" s="8">
        <v>0.0</v>
      </c>
      <c r="H235" s="8">
        <v>0.0</v>
      </c>
      <c r="I235" s="8">
        <v>1.0610251E7</v>
      </c>
      <c r="J235" s="8">
        <v>1.0610251E7</v>
      </c>
      <c r="K235" s="8">
        <v>0.0</v>
      </c>
      <c r="L235" s="8">
        <v>0.0</v>
      </c>
      <c r="M235" s="8">
        <v>0.0</v>
      </c>
      <c r="N235" s="8">
        <v>0.0</v>
      </c>
      <c r="O235" s="11">
        <v>53046.0</v>
      </c>
      <c r="P235" s="10"/>
      <c r="Q235" s="8">
        <v>0.0</v>
      </c>
      <c r="R235" s="8">
        <v>1703978.54</v>
      </c>
      <c r="S235" s="8">
        <v>130633.45</v>
      </c>
      <c r="T235" s="8">
        <v>0.0</v>
      </c>
      <c r="U235" s="8">
        <v>0.0</v>
      </c>
      <c r="V235" s="8">
        <v>0.0</v>
      </c>
      <c r="W235" s="8">
        <v>0.0</v>
      </c>
      <c r="X235" s="8">
        <v>0.0</v>
      </c>
      <c r="Y235" s="8">
        <v>0.0</v>
      </c>
      <c r="Z235" s="8">
        <v>0.0</v>
      </c>
      <c r="AA235" s="8">
        <v>0.0</v>
      </c>
      <c r="AB235" s="8">
        <v>0.0</v>
      </c>
      <c r="AC235" s="8">
        <v>1834611.99</v>
      </c>
      <c r="AD235" s="3" t="s">
        <v>36</v>
      </c>
      <c r="AE235" s="10"/>
      <c r="AF235" s="3">
        <v>0.0</v>
      </c>
      <c r="AG235" s="8">
        <v>12.73</v>
      </c>
      <c r="AH235" s="8">
        <v>18.58</v>
      </c>
    </row>
    <row r="236">
      <c r="A236" s="3">
        <v>235.0</v>
      </c>
      <c r="B236" s="8">
        <v>1834611.99</v>
      </c>
      <c r="C236" s="8">
        <v>1834611.99</v>
      </c>
      <c r="D236" s="8">
        <v>1722054.92</v>
      </c>
      <c r="E236" s="8">
        <v>112557.07</v>
      </c>
      <c r="F236" s="8">
        <v>0.0</v>
      </c>
      <c r="G236" s="8">
        <v>0.0</v>
      </c>
      <c r="H236" s="8">
        <v>0.0</v>
      </c>
      <c r="I236" s="8">
        <v>8888196.08</v>
      </c>
      <c r="J236" s="8">
        <v>8888196.08</v>
      </c>
      <c r="K236" s="8">
        <v>0.0</v>
      </c>
      <c r="L236" s="8">
        <v>0.0</v>
      </c>
      <c r="M236" s="8">
        <v>0.0</v>
      </c>
      <c r="N236" s="8">
        <v>0.0</v>
      </c>
      <c r="O236" s="11">
        <v>53077.0</v>
      </c>
      <c r="P236" s="10"/>
      <c r="Q236" s="8">
        <v>0.0</v>
      </c>
      <c r="R236" s="8">
        <v>1722054.92</v>
      </c>
      <c r="S236" s="8">
        <v>112557.07</v>
      </c>
      <c r="T236" s="8">
        <v>0.0</v>
      </c>
      <c r="U236" s="8">
        <v>0.0</v>
      </c>
      <c r="V236" s="8">
        <v>0.0</v>
      </c>
      <c r="W236" s="8">
        <v>0.0</v>
      </c>
      <c r="X236" s="8">
        <v>0.0</v>
      </c>
      <c r="Y236" s="8">
        <v>0.0</v>
      </c>
      <c r="Z236" s="8">
        <v>0.0</v>
      </c>
      <c r="AA236" s="8">
        <v>0.0</v>
      </c>
      <c r="AB236" s="8">
        <v>0.0</v>
      </c>
      <c r="AC236" s="8">
        <v>1834611.99</v>
      </c>
      <c r="AD236" s="3" t="s">
        <v>36</v>
      </c>
      <c r="AE236" s="10"/>
      <c r="AF236" s="3">
        <v>0.0</v>
      </c>
      <c r="AG236" s="8">
        <v>12.73</v>
      </c>
      <c r="AH236" s="8">
        <v>18.58</v>
      </c>
    </row>
    <row r="237">
      <c r="A237" s="3">
        <v>236.0</v>
      </c>
      <c r="B237" s="8">
        <v>1834611.99</v>
      </c>
      <c r="C237" s="8">
        <v>1834611.99</v>
      </c>
      <c r="D237" s="8">
        <v>1740323.05</v>
      </c>
      <c r="E237" s="8">
        <v>94288.94</v>
      </c>
      <c r="F237" s="8">
        <v>0.0</v>
      </c>
      <c r="G237" s="8">
        <v>0.0</v>
      </c>
      <c r="H237" s="8">
        <v>0.0</v>
      </c>
      <c r="I237" s="8">
        <v>7147873.03</v>
      </c>
      <c r="J237" s="8">
        <v>7147873.03</v>
      </c>
      <c r="K237" s="8">
        <v>0.0</v>
      </c>
      <c r="L237" s="8">
        <v>0.0</v>
      </c>
      <c r="M237" s="8">
        <v>0.0</v>
      </c>
      <c r="N237" s="8">
        <v>0.0</v>
      </c>
      <c r="O237" s="11">
        <v>53107.0</v>
      </c>
      <c r="P237" s="10"/>
      <c r="Q237" s="8">
        <v>0.0</v>
      </c>
      <c r="R237" s="8">
        <v>1740323.05</v>
      </c>
      <c r="S237" s="8">
        <v>94288.94</v>
      </c>
      <c r="T237" s="8">
        <v>0.0</v>
      </c>
      <c r="U237" s="8">
        <v>0.0</v>
      </c>
      <c r="V237" s="8">
        <v>0.0</v>
      </c>
      <c r="W237" s="8">
        <v>0.0</v>
      </c>
      <c r="X237" s="8">
        <v>0.0</v>
      </c>
      <c r="Y237" s="8">
        <v>0.0</v>
      </c>
      <c r="Z237" s="8">
        <v>0.0</v>
      </c>
      <c r="AA237" s="8">
        <v>0.0</v>
      </c>
      <c r="AB237" s="8">
        <v>0.0</v>
      </c>
      <c r="AC237" s="8">
        <v>1834611.99</v>
      </c>
      <c r="AD237" s="3" t="s">
        <v>36</v>
      </c>
      <c r="AE237" s="10"/>
      <c r="AF237" s="3">
        <v>0.0</v>
      </c>
      <c r="AG237" s="8">
        <v>12.73</v>
      </c>
      <c r="AH237" s="8">
        <v>18.58</v>
      </c>
    </row>
    <row r="238">
      <c r="A238" s="3">
        <v>237.0</v>
      </c>
      <c r="B238" s="8">
        <v>1834611.99</v>
      </c>
      <c r="C238" s="8">
        <v>1834611.99</v>
      </c>
      <c r="D238" s="8">
        <v>1758784.98</v>
      </c>
      <c r="E238" s="8">
        <v>75827.01</v>
      </c>
      <c r="F238" s="8">
        <v>0.0</v>
      </c>
      <c r="G238" s="8">
        <v>0.0</v>
      </c>
      <c r="H238" s="8">
        <v>0.0</v>
      </c>
      <c r="I238" s="8">
        <v>5389088.05</v>
      </c>
      <c r="J238" s="8">
        <v>5389088.05</v>
      </c>
      <c r="K238" s="8">
        <v>0.0</v>
      </c>
      <c r="L238" s="8">
        <v>0.0</v>
      </c>
      <c r="M238" s="8">
        <v>0.0</v>
      </c>
      <c r="N238" s="8">
        <v>0.0</v>
      </c>
      <c r="O238" s="11">
        <v>53138.0</v>
      </c>
      <c r="P238" s="10"/>
      <c r="Q238" s="8">
        <v>0.0</v>
      </c>
      <c r="R238" s="8">
        <v>1758784.98</v>
      </c>
      <c r="S238" s="8">
        <v>75827.01</v>
      </c>
      <c r="T238" s="8">
        <v>0.0</v>
      </c>
      <c r="U238" s="8">
        <v>0.0</v>
      </c>
      <c r="V238" s="8">
        <v>0.0</v>
      </c>
      <c r="W238" s="8">
        <v>0.0</v>
      </c>
      <c r="X238" s="8">
        <v>0.0</v>
      </c>
      <c r="Y238" s="8">
        <v>0.0</v>
      </c>
      <c r="Z238" s="8">
        <v>0.0</v>
      </c>
      <c r="AA238" s="8">
        <v>0.0</v>
      </c>
      <c r="AB238" s="8">
        <v>0.0</v>
      </c>
      <c r="AC238" s="8">
        <v>1834611.99</v>
      </c>
      <c r="AD238" s="3" t="s">
        <v>36</v>
      </c>
      <c r="AE238" s="10"/>
      <c r="AF238" s="3">
        <v>0.0</v>
      </c>
      <c r="AG238" s="8">
        <v>12.73</v>
      </c>
      <c r="AH238" s="8">
        <v>18.58</v>
      </c>
    </row>
    <row r="239">
      <c r="A239" s="3">
        <v>238.0</v>
      </c>
      <c r="B239" s="8">
        <v>1834611.99</v>
      </c>
      <c r="C239" s="8">
        <v>1834611.99</v>
      </c>
      <c r="D239" s="8">
        <v>1777442.75</v>
      </c>
      <c r="E239" s="8">
        <v>57169.24</v>
      </c>
      <c r="F239" s="8">
        <v>0.0</v>
      </c>
      <c r="G239" s="8">
        <v>0.0</v>
      </c>
      <c r="H239" s="8">
        <v>0.0</v>
      </c>
      <c r="I239" s="8">
        <v>3611645.3</v>
      </c>
      <c r="J239" s="8">
        <v>3611645.3</v>
      </c>
      <c r="K239" s="8">
        <v>0.0</v>
      </c>
      <c r="L239" s="8">
        <v>0.0</v>
      </c>
      <c r="M239" s="8">
        <v>0.0</v>
      </c>
      <c r="N239" s="8">
        <v>0.0</v>
      </c>
      <c r="O239" s="11">
        <v>53168.0</v>
      </c>
      <c r="P239" s="10"/>
      <c r="Q239" s="8">
        <v>0.0</v>
      </c>
      <c r="R239" s="8">
        <v>1777442.75</v>
      </c>
      <c r="S239" s="8">
        <v>57169.24</v>
      </c>
      <c r="T239" s="8">
        <v>0.0</v>
      </c>
      <c r="U239" s="8">
        <v>0.0</v>
      </c>
      <c r="V239" s="8">
        <v>0.0</v>
      </c>
      <c r="W239" s="8">
        <v>0.0</v>
      </c>
      <c r="X239" s="8">
        <v>0.0</v>
      </c>
      <c r="Y239" s="8">
        <v>0.0</v>
      </c>
      <c r="Z239" s="8">
        <v>0.0</v>
      </c>
      <c r="AA239" s="8">
        <v>0.0</v>
      </c>
      <c r="AB239" s="8">
        <v>0.0</v>
      </c>
      <c r="AC239" s="8">
        <v>1834611.99</v>
      </c>
      <c r="AD239" s="3" t="s">
        <v>36</v>
      </c>
      <c r="AE239" s="10"/>
      <c r="AF239" s="3">
        <v>0.0</v>
      </c>
      <c r="AG239" s="8">
        <v>12.73</v>
      </c>
      <c r="AH239" s="8">
        <v>18.58</v>
      </c>
    </row>
    <row r="240">
      <c r="A240" s="3">
        <v>239.0</v>
      </c>
      <c r="B240" s="8">
        <v>1834611.99</v>
      </c>
      <c r="C240" s="8">
        <v>1834611.99</v>
      </c>
      <c r="D240" s="8">
        <v>1796298.46</v>
      </c>
      <c r="E240" s="8">
        <v>38313.53</v>
      </c>
      <c r="F240" s="8">
        <v>0.0</v>
      </c>
      <c r="G240" s="8">
        <v>0.0</v>
      </c>
      <c r="H240" s="8">
        <v>0.0</v>
      </c>
      <c r="I240" s="8">
        <v>1815346.84</v>
      </c>
      <c r="J240" s="8">
        <v>1815346.84</v>
      </c>
      <c r="K240" s="8">
        <v>0.0</v>
      </c>
      <c r="L240" s="8">
        <v>0.0</v>
      </c>
      <c r="M240" s="8">
        <v>0.0</v>
      </c>
      <c r="N240" s="8">
        <v>0.0</v>
      </c>
      <c r="O240" s="11">
        <v>53199.0</v>
      </c>
      <c r="P240" s="10"/>
      <c r="Q240" s="8">
        <v>0.0</v>
      </c>
      <c r="R240" s="8">
        <v>1796298.46</v>
      </c>
      <c r="S240" s="8">
        <v>38313.53</v>
      </c>
      <c r="T240" s="8">
        <v>0.0</v>
      </c>
      <c r="U240" s="8">
        <v>0.0</v>
      </c>
      <c r="V240" s="8">
        <v>0.0</v>
      </c>
      <c r="W240" s="8">
        <v>0.0</v>
      </c>
      <c r="X240" s="8">
        <v>0.0</v>
      </c>
      <c r="Y240" s="8">
        <v>0.0</v>
      </c>
      <c r="Z240" s="8">
        <v>0.0</v>
      </c>
      <c r="AA240" s="8">
        <v>0.0</v>
      </c>
      <c r="AB240" s="8">
        <v>0.0</v>
      </c>
      <c r="AC240" s="8">
        <v>1834611.99</v>
      </c>
      <c r="AD240" s="3" t="s">
        <v>36</v>
      </c>
      <c r="AE240" s="10"/>
      <c r="AF240" s="3">
        <v>0.0</v>
      </c>
      <c r="AG240" s="8">
        <v>12.73</v>
      </c>
      <c r="AH240" s="8">
        <v>18.58</v>
      </c>
    </row>
    <row r="241">
      <c r="A241" s="3">
        <v>240.0</v>
      </c>
      <c r="B241" s="8">
        <v>1834604.64</v>
      </c>
      <c r="C241" s="8">
        <v>1834604.64</v>
      </c>
      <c r="D241" s="8">
        <v>1815346.84</v>
      </c>
      <c r="E241" s="8">
        <v>19257.8</v>
      </c>
      <c r="F241" s="8">
        <v>0.0</v>
      </c>
      <c r="G241" s="8">
        <v>0.0</v>
      </c>
      <c r="H241" s="8">
        <v>0.0</v>
      </c>
      <c r="I241" s="8">
        <v>0.0</v>
      </c>
      <c r="J241" s="8">
        <v>0.0</v>
      </c>
      <c r="K241" s="8">
        <v>0.0</v>
      </c>
      <c r="L241" s="8">
        <v>0.0</v>
      </c>
      <c r="M241" s="8">
        <v>0.0</v>
      </c>
      <c r="N241" s="8">
        <v>0.0</v>
      </c>
      <c r="O241" s="11">
        <v>53230.0</v>
      </c>
      <c r="P241" s="10"/>
      <c r="Q241" s="8">
        <v>0.0</v>
      </c>
      <c r="R241" s="8">
        <v>1815346.84</v>
      </c>
      <c r="S241" s="8">
        <v>19257.8</v>
      </c>
      <c r="T241" s="8">
        <v>0.0</v>
      </c>
      <c r="U241" s="8">
        <v>0.0</v>
      </c>
      <c r="V241" s="8">
        <v>0.0</v>
      </c>
      <c r="W241" s="8">
        <v>0.0</v>
      </c>
      <c r="X241" s="8">
        <v>0.0</v>
      </c>
      <c r="Y241" s="8">
        <v>0.0</v>
      </c>
      <c r="Z241" s="8">
        <v>0.0</v>
      </c>
      <c r="AA241" s="8">
        <v>0.0</v>
      </c>
      <c r="AB241" s="8">
        <v>0.0</v>
      </c>
      <c r="AC241" s="8">
        <v>1834604.64</v>
      </c>
      <c r="AD241" s="3" t="s">
        <v>36</v>
      </c>
      <c r="AE241" s="10"/>
      <c r="AF241" s="3">
        <v>0.0</v>
      </c>
      <c r="AG241" s="8">
        <v>12.73</v>
      </c>
      <c r="AH241" s="8">
        <v>18.58</v>
      </c>
    </row>
  </sheetData>
  <drawing r:id="rId1"/>
</worksheet>
</file>